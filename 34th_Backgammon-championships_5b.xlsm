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DieseArbeitsmappe" defaultThemeVersion="166925"/>
  <mc:AlternateContent xmlns:mc="http://schemas.openxmlformats.org/markup-compatibility/2006">
    <mc:Choice Requires="x15">
      <x15ac:absPath xmlns:x15ac="http://schemas.microsoft.com/office/spreadsheetml/2010/11/ac" url="C:\Backgammon-Meisterschaft.de\34th-season\"/>
    </mc:Choice>
  </mc:AlternateContent>
  <xr:revisionPtr revIDLastSave="0" documentId="13_ncr:1_{868B73F8-6221-4AFA-BD72-A8886A5B81D8}" xr6:coauthVersionLast="47" xr6:coauthVersionMax="47" xr10:uidLastSave="{00000000-0000-0000-0000-000000000000}"/>
  <bookViews>
    <workbookView xWindow="-110" yWindow="-110" windowWidth="25820" windowHeight="15500" firstSheet="1" activeTab="2" xr2:uid="{A86287CC-EDD3-48B5-8BA4-B80773EFDBF5}"/>
  </bookViews>
  <sheets>
    <sheet name="Leagues" sheetId="8" state="hidden" r:id="rId1"/>
    <sheet name="Readme" sheetId="13" r:id="rId2"/>
    <sheet name="Players" sheetId="4" r:id="rId3"/>
    <sheet name="Matches" sheetId="1" r:id="rId4"/>
    <sheet name="Table" sheetId="3" r:id="rId5"/>
    <sheet name="Links" sheetId="2" r:id="rId6"/>
    <sheet name="tmpLinks" sheetId="14" r:id="rId7"/>
    <sheet name="Progress" sheetId="5" state="hidden" r:id="rId8"/>
    <sheet name="Profilseiten" sheetId="12" state="hidden" r:id="rId9"/>
    <sheet name="App-Matches" sheetId="6" r:id="rId10"/>
    <sheet name="App-Table" sheetId="7" r:id="rId11"/>
    <sheet name="Tournament win prognosis" sheetId="9" state="hidden" r:id="rId12"/>
    <sheet name="Match win prognosis" sheetId="10" state="hidden" r:id="rId13"/>
    <sheet name="Rockwell-Kazaross MET" sheetId="11" state="hidden" r:id="rId14"/>
  </sheets>
  <functionGroups builtInGroupCount="19"/>
  <definedNames>
    <definedName name="_xlnm._FilterDatabase" localSheetId="8" hidden="1">Profilseiten!$A$1:$N$188</definedName>
    <definedName name="_xlnm._FilterDatabase" localSheetId="6" hidden="1">tmpLinks!$A$1:$G$94</definedName>
    <definedName name="Ergebnismatrix" localSheetId="12">'Match win prognosis'!$B$4:$K$13</definedName>
    <definedName name="Ergebnismatrix">Matches!$B$4:$U$13</definedName>
    <definedName name="FinishedMatches">Progress!$E$2</definedName>
    <definedName name="FinishedMatchesPercent">Progress!$F$2</definedName>
    <definedName name="Group">Players!$C$1</definedName>
    <definedName name="GROUP_PROGRESS" localSheetId="12">Matches!$AT$14</definedName>
    <definedName name="GROUP_PROGRESS_TURZ" localSheetId="12">'Match win prognosis'!#REF!</definedName>
    <definedName name="GROUP_PROGRESS_TURZ">Matches!$BE$14</definedName>
    <definedName name="GROUP_TABLE">Table!$A$3:$O$12</definedName>
    <definedName name="LEAGUE_DATA">Leagues!$A:$D</definedName>
    <definedName name="MatchesPerPlayer">Progress!$C$2</definedName>
    <definedName name="NoOfPlayers">Progress!$B$2</definedName>
    <definedName name="Player1" localSheetId="12">Players!$A$2</definedName>
    <definedName name="Player1" localSheetId="13">Players!$A$2</definedName>
    <definedName name="Player1" localSheetId="11">Players!$A$2</definedName>
    <definedName name="Player1">Players!$A$2</definedName>
    <definedName name="Player10" localSheetId="12">Players!$A$11</definedName>
    <definedName name="Player10" localSheetId="13">Players!$A$11</definedName>
    <definedName name="Player10" localSheetId="11">Players!$A$11</definedName>
    <definedName name="Player10">Players!$A$11</definedName>
    <definedName name="Player2" localSheetId="12">Players!$A$3</definedName>
    <definedName name="Player2" localSheetId="13">Players!$A$3</definedName>
    <definedName name="Player2" localSheetId="11">Players!$A$3</definedName>
    <definedName name="Player2">Players!$A$3</definedName>
    <definedName name="Player3" localSheetId="12">Players!$A$4</definedName>
    <definedName name="Player3" localSheetId="13">Players!$A$4</definedName>
    <definedName name="Player3" localSheetId="11">Players!$A$4</definedName>
    <definedName name="Player3">Players!$A$4</definedName>
    <definedName name="Player4" localSheetId="12">Players!$A$5</definedName>
    <definedName name="Player4" localSheetId="13">Players!$A$5</definedName>
    <definedName name="Player4" localSheetId="11">Players!$A$5</definedName>
    <definedName name="Player4">Players!$A$5</definedName>
    <definedName name="Player5" localSheetId="12">Players!$A$6</definedName>
    <definedName name="Player5" localSheetId="13">Players!$A$6</definedName>
    <definedName name="Player5" localSheetId="11">Players!$A$6</definedName>
    <definedName name="Player5">Players!$A$6</definedName>
    <definedName name="Player6" localSheetId="12">Players!$A$7</definedName>
    <definedName name="Player6" localSheetId="13">Players!$A$7</definedName>
    <definedName name="Player6" localSheetId="11">Players!$A$7</definedName>
    <definedName name="Player6">Players!$A$7</definedName>
    <definedName name="Player7" localSheetId="12">Players!$A$8</definedName>
    <definedName name="Player7" localSheetId="13">Players!$A$8</definedName>
    <definedName name="Player7" localSheetId="11">Players!$A$8</definedName>
    <definedName name="Player7">Players!$A$8</definedName>
    <definedName name="Player8" localSheetId="12">Players!$A$9</definedName>
    <definedName name="Player8" localSheetId="13">Players!$A$9</definedName>
    <definedName name="Player8" localSheetId="11">Players!$A$9</definedName>
    <definedName name="Player8">Players!$A$9</definedName>
    <definedName name="Player9" localSheetId="12">Players!$A$10</definedName>
    <definedName name="Player9" localSheetId="13">Players!$A$10</definedName>
    <definedName name="Player9" localSheetId="11">Players!$A$10</definedName>
    <definedName name="Player9">Players!$A$10</definedName>
    <definedName name="TotalMatches">Progress!$D$2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4" i="14" l="1"/>
  <c r="D93" i="14"/>
  <c r="D92" i="14"/>
  <c r="D91" i="14"/>
  <c r="D90" i="14"/>
  <c r="D89" i="14"/>
  <c r="D88" i="14"/>
  <c r="D87" i="14"/>
  <c r="D86" i="14"/>
  <c r="D85" i="14"/>
  <c r="D84" i="14"/>
  <c r="D83" i="14"/>
  <c r="D82" i="14"/>
  <c r="D81" i="14"/>
  <c r="D80" i="14"/>
  <c r="D79" i="14"/>
  <c r="D78" i="14"/>
  <c r="D77" i="14"/>
  <c r="D76" i="14"/>
  <c r="D75" i="14"/>
  <c r="D74" i="14"/>
  <c r="D73" i="14"/>
  <c r="D72" i="14"/>
  <c r="D71" i="14"/>
  <c r="D70" i="14"/>
  <c r="D69" i="14"/>
  <c r="D68" i="14"/>
  <c r="D67" i="14"/>
  <c r="D66" i="14"/>
  <c r="D65" i="14"/>
  <c r="D64" i="14"/>
  <c r="D63" i="14"/>
  <c r="D62" i="14"/>
  <c r="D61" i="14"/>
  <c r="D60" i="14"/>
  <c r="D59" i="14"/>
  <c r="D58" i="14"/>
  <c r="D57" i="14"/>
  <c r="D56" i="14"/>
  <c r="D55" i="14"/>
  <c r="D54" i="14"/>
  <c r="D53" i="14"/>
  <c r="D52" i="14"/>
  <c r="D51" i="14"/>
  <c r="D50" i="14"/>
  <c r="D49" i="14"/>
  <c r="D48" i="14"/>
  <c r="D47" i="14"/>
  <c r="D46" i="14"/>
  <c r="D45" i="14"/>
  <c r="D44" i="14"/>
  <c r="D43" i="14"/>
  <c r="D42" i="14"/>
  <c r="D41" i="14"/>
  <c r="D40" i="14"/>
  <c r="D39" i="14"/>
  <c r="D38" i="14"/>
  <c r="D37" i="14"/>
  <c r="D36" i="14"/>
  <c r="D35" i="14"/>
  <c r="D34" i="14"/>
  <c r="D33" i="14"/>
  <c r="D32" i="14"/>
  <c r="D31" i="14"/>
  <c r="D30" i="14"/>
  <c r="D29" i="14"/>
  <c r="D28" i="14"/>
  <c r="D27" i="14"/>
  <c r="D26" i="14"/>
  <c r="D25" i="14"/>
  <c r="D24" i="14"/>
  <c r="D23" i="14"/>
  <c r="D22" i="14"/>
  <c r="D21" i="14"/>
  <c r="D20" i="14"/>
  <c r="D19" i="14"/>
  <c r="D18" i="14"/>
  <c r="D17" i="14"/>
  <c r="D16" i="14"/>
  <c r="D15" i="14"/>
  <c r="D14" i="14"/>
  <c r="D13" i="14"/>
  <c r="D12" i="14"/>
  <c r="D11" i="14"/>
  <c r="D10" i="14"/>
  <c r="D9" i="14"/>
  <c r="D8" i="14"/>
  <c r="D7" i="14"/>
  <c r="D6" i="14"/>
  <c r="D5" i="14"/>
  <c r="D4" i="14"/>
  <c r="D3" i="14"/>
  <c r="D2" i="14" l="1"/>
  <c r="A13" i="10" l="1"/>
  <c r="A12" i="10"/>
  <c r="A11" i="10"/>
  <c r="A10" i="10"/>
  <c r="A9" i="10"/>
  <c r="A8" i="10"/>
  <c r="A7" i="10"/>
  <c r="A6" i="10"/>
  <c r="A5" i="10"/>
  <c r="A4" i="10"/>
  <c r="A11" i="9" l="1"/>
  <c r="A10" i="9"/>
  <c r="A9" i="9"/>
  <c r="A8" i="9"/>
  <c r="A7" i="9"/>
  <c r="A6" i="9"/>
  <c r="A5" i="9"/>
  <c r="A4" i="9"/>
  <c r="A3" i="9"/>
  <c r="A3" i="10"/>
  <c r="A2" i="9"/>
  <c r="H10" i="9" l="1"/>
  <c r="I10" i="9" s="1"/>
  <c r="G10" i="9"/>
  <c r="H11" i="9"/>
  <c r="I11" i="9" s="1"/>
  <c r="G11" i="9"/>
  <c r="K3" i="10"/>
  <c r="J3" i="10"/>
  <c r="I3" i="10"/>
  <c r="H3" i="10"/>
  <c r="G3" i="10"/>
  <c r="F3" i="10"/>
  <c r="E3" i="10"/>
  <c r="D3" i="10"/>
  <c r="C3" i="10"/>
  <c r="B3" i="10"/>
  <c r="K11" i="9" l="1"/>
  <c r="L11" i="9"/>
  <c r="K10" i="9"/>
  <c r="L10" i="9"/>
  <c r="A1" i="2"/>
  <c r="A3" i="1"/>
  <c r="H8" i="9" l="1"/>
  <c r="I8" i="9" s="1"/>
  <c r="G8" i="9"/>
  <c r="H4" i="9"/>
  <c r="I4" i="9" s="1"/>
  <c r="G4" i="9"/>
  <c r="H3" i="9"/>
  <c r="I3" i="9" s="1"/>
  <c r="G3" i="9"/>
  <c r="H9" i="9"/>
  <c r="I9" i="9" s="1"/>
  <c r="G9" i="9"/>
  <c r="H2" i="9"/>
  <c r="I2" i="9" s="1"/>
  <c r="G2" i="9"/>
  <c r="H5" i="9"/>
  <c r="I5" i="9" s="1"/>
  <c r="G5" i="9"/>
  <c r="H7" i="9"/>
  <c r="J7" i="9" s="1"/>
  <c r="J10" i="9"/>
  <c r="BD13" i="1"/>
  <c r="BC13" i="1"/>
  <c r="BB13" i="1"/>
  <c r="BA13" i="1"/>
  <c r="AZ13" i="1"/>
  <c r="AY13" i="1"/>
  <c r="AX13" i="1"/>
  <c r="AW13" i="1"/>
  <c r="AV13" i="1"/>
  <c r="AU13" i="1"/>
  <c r="BD12" i="1"/>
  <c r="BC12" i="1"/>
  <c r="BB12" i="1"/>
  <c r="BA12" i="1"/>
  <c r="AZ12" i="1"/>
  <c r="AY12" i="1"/>
  <c r="AX12" i="1"/>
  <c r="AW12" i="1"/>
  <c r="AV12" i="1"/>
  <c r="AU12" i="1"/>
  <c r="BD11" i="1"/>
  <c r="BC11" i="1"/>
  <c r="BB11" i="1"/>
  <c r="BA11" i="1"/>
  <c r="AZ11" i="1"/>
  <c r="AY11" i="1"/>
  <c r="AX11" i="1"/>
  <c r="AW11" i="1"/>
  <c r="AV11" i="1"/>
  <c r="AU11" i="1"/>
  <c r="BD10" i="1"/>
  <c r="BC10" i="1"/>
  <c r="BB10" i="1"/>
  <c r="BA10" i="1"/>
  <c r="AZ10" i="1"/>
  <c r="AY10" i="1"/>
  <c r="AX10" i="1"/>
  <c r="AW10" i="1"/>
  <c r="AV10" i="1"/>
  <c r="AU10" i="1"/>
  <c r="BD9" i="1"/>
  <c r="BC9" i="1"/>
  <c r="BB9" i="1"/>
  <c r="BA9" i="1"/>
  <c r="AZ9" i="1"/>
  <c r="AY9" i="1"/>
  <c r="AX9" i="1"/>
  <c r="AW9" i="1"/>
  <c r="AV9" i="1"/>
  <c r="AU9" i="1"/>
  <c r="BD8" i="1"/>
  <c r="BC8" i="1"/>
  <c r="BB8" i="1"/>
  <c r="BA8" i="1"/>
  <c r="AZ8" i="1"/>
  <c r="AY8" i="1"/>
  <c r="AX8" i="1"/>
  <c r="AW8" i="1"/>
  <c r="AV8" i="1"/>
  <c r="AU8" i="1"/>
  <c r="BD7" i="1"/>
  <c r="BC7" i="1"/>
  <c r="BB7" i="1"/>
  <c r="BA7" i="1"/>
  <c r="AZ7" i="1"/>
  <c r="AY7" i="1"/>
  <c r="AX7" i="1"/>
  <c r="AW7" i="1"/>
  <c r="AV7" i="1"/>
  <c r="AU7" i="1"/>
  <c r="BD6" i="1"/>
  <c r="BC6" i="1"/>
  <c r="BB6" i="1"/>
  <c r="BA6" i="1"/>
  <c r="AZ6" i="1"/>
  <c r="AY6" i="1"/>
  <c r="AX6" i="1"/>
  <c r="AW6" i="1"/>
  <c r="AV6" i="1"/>
  <c r="AU6" i="1"/>
  <c r="BD5" i="1"/>
  <c r="BC5" i="1"/>
  <c r="BB5" i="1"/>
  <c r="BA5" i="1"/>
  <c r="AZ5" i="1"/>
  <c r="AY5" i="1"/>
  <c r="AX5" i="1"/>
  <c r="AW5" i="1"/>
  <c r="AV5" i="1"/>
  <c r="AU5" i="1"/>
  <c r="BD4" i="1"/>
  <c r="BC4" i="1"/>
  <c r="BB4" i="1"/>
  <c r="BA4" i="1"/>
  <c r="AZ4" i="1"/>
  <c r="AY4" i="1"/>
  <c r="AX4" i="1"/>
  <c r="AW4" i="1"/>
  <c r="AV4" i="1"/>
  <c r="AU4" i="1"/>
  <c r="K8" i="9" l="1"/>
  <c r="L8" i="9"/>
  <c r="K5" i="9"/>
  <c r="L5" i="9"/>
  <c r="K4" i="9"/>
  <c r="L4" i="9"/>
  <c r="K9" i="9"/>
  <c r="L9" i="9"/>
  <c r="K3" i="9"/>
  <c r="L3" i="9"/>
  <c r="K2" i="9"/>
  <c r="L2" i="9"/>
  <c r="J11" i="9"/>
  <c r="J3" i="9"/>
  <c r="J2" i="9"/>
  <c r="H6" i="9"/>
  <c r="I6" i="9" s="1"/>
  <c r="G6" i="9"/>
  <c r="J9" i="9"/>
  <c r="J8" i="9"/>
  <c r="G7" i="9"/>
  <c r="I7" i="9"/>
  <c r="J5" i="9"/>
  <c r="J4" i="9"/>
  <c r="AS13" i="1"/>
  <c r="AR13" i="1"/>
  <c r="AQ13" i="1"/>
  <c r="AP13" i="1"/>
  <c r="AO13" i="1"/>
  <c r="AN13" i="1"/>
  <c r="AM13" i="1"/>
  <c r="AL13" i="1"/>
  <c r="AK13" i="1"/>
  <c r="AJ13" i="1"/>
  <c r="AS12" i="1"/>
  <c r="AR12" i="1"/>
  <c r="AQ12" i="1"/>
  <c r="AP12" i="1"/>
  <c r="AO12" i="1"/>
  <c r="AN12" i="1"/>
  <c r="AM12" i="1"/>
  <c r="AL12" i="1"/>
  <c r="AK12" i="1"/>
  <c r="AJ12" i="1"/>
  <c r="AS11" i="1"/>
  <c r="AR11" i="1"/>
  <c r="AQ11" i="1"/>
  <c r="AP11" i="1"/>
  <c r="AO11" i="1"/>
  <c r="AN11" i="1"/>
  <c r="AM11" i="1"/>
  <c r="AL11" i="1"/>
  <c r="AK11" i="1"/>
  <c r="AJ11" i="1"/>
  <c r="AS10" i="1"/>
  <c r="AR10" i="1"/>
  <c r="AQ10" i="1"/>
  <c r="AP10" i="1"/>
  <c r="AO10" i="1"/>
  <c r="AN10" i="1"/>
  <c r="AM10" i="1"/>
  <c r="AL10" i="1"/>
  <c r="AK10" i="1"/>
  <c r="AJ10" i="1"/>
  <c r="AS9" i="1"/>
  <c r="AR9" i="1"/>
  <c r="AQ9" i="1"/>
  <c r="AP9" i="1"/>
  <c r="AO9" i="1"/>
  <c r="AN9" i="1"/>
  <c r="AM9" i="1"/>
  <c r="AL9" i="1"/>
  <c r="AK9" i="1"/>
  <c r="AJ9" i="1"/>
  <c r="AS8" i="1"/>
  <c r="AR8" i="1"/>
  <c r="AQ8" i="1"/>
  <c r="AP8" i="1"/>
  <c r="AO8" i="1"/>
  <c r="AN8" i="1"/>
  <c r="AM8" i="1"/>
  <c r="AL8" i="1"/>
  <c r="AK8" i="1"/>
  <c r="AJ8" i="1"/>
  <c r="AS7" i="1"/>
  <c r="AR7" i="1"/>
  <c r="AQ7" i="1"/>
  <c r="AP7" i="1"/>
  <c r="AO7" i="1"/>
  <c r="AN7" i="1"/>
  <c r="AM7" i="1"/>
  <c r="AL7" i="1"/>
  <c r="AK7" i="1"/>
  <c r="AJ7" i="1"/>
  <c r="AS6" i="1"/>
  <c r="AR6" i="1"/>
  <c r="AQ6" i="1"/>
  <c r="AP6" i="1"/>
  <c r="AO6" i="1"/>
  <c r="AN6" i="1"/>
  <c r="AM6" i="1"/>
  <c r="AL6" i="1"/>
  <c r="AK6" i="1"/>
  <c r="AJ6" i="1"/>
  <c r="AS5" i="1"/>
  <c r="AR5" i="1"/>
  <c r="AQ5" i="1"/>
  <c r="AP5" i="1"/>
  <c r="AO5" i="1"/>
  <c r="AN5" i="1"/>
  <c r="AM5" i="1"/>
  <c r="AL5" i="1"/>
  <c r="AK5" i="1"/>
  <c r="AJ5" i="1"/>
  <c r="AS4" i="1"/>
  <c r="AR4" i="1"/>
  <c r="AQ4" i="1"/>
  <c r="AP4" i="1"/>
  <c r="AO4" i="1"/>
  <c r="AN4" i="1"/>
  <c r="AM4" i="1"/>
  <c r="AL4" i="1"/>
  <c r="AK4" i="1"/>
  <c r="AJ4" i="1"/>
  <c r="K6" i="9" l="1"/>
  <c r="L6" i="9"/>
  <c r="K7" i="9"/>
  <c r="L7" i="9"/>
  <c r="J6" i="9"/>
  <c r="AT12" i="1"/>
  <c r="AT8" i="1"/>
  <c r="AT4" i="1"/>
  <c r="AT6" i="1"/>
  <c r="AT9" i="1"/>
  <c r="AT10" i="1"/>
  <c r="AT11" i="1"/>
  <c r="AT13" i="1"/>
  <c r="AT5" i="1"/>
  <c r="AT7" i="1"/>
  <c r="A11" i="2"/>
  <c r="A10" i="2"/>
  <c r="A9" i="2"/>
  <c r="A8" i="2"/>
  <c r="A7" i="2"/>
  <c r="A6" i="2"/>
  <c r="A5" i="2"/>
  <c r="A4" i="2"/>
  <c r="A3" i="2"/>
  <c r="A2" i="2"/>
  <c r="B15" i="3" l="1"/>
  <c r="AA13" i="1" l="1"/>
  <c r="Z13" i="1"/>
  <c r="Y13" i="1"/>
  <c r="X13" i="1"/>
  <c r="W13" i="1"/>
  <c r="V13" i="1"/>
  <c r="AA12" i="1"/>
  <c r="Z12" i="1"/>
  <c r="Y12" i="1"/>
  <c r="X12" i="1"/>
  <c r="W12" i="1"/>
  <c r="V12" i="1"/>
  <c r="AA11" i="1"/>
  <c r="Z11" i="1"/>
  <c r="Y11" i="1"/>
  <c r="X11" i="1"/>
  <c r="W11" i="1"/>
  <c r="V11" i="1"/>
  <c r="AA10" i="1"/>
  <c r="Z10" i="1"/>
  <c r="Y10" i="1"/>
  <c r="X10" i="1"/>
  <c r="W10" i="1"/>
  <c r="V10" i="1"/>
  <c r="AA9" i="1"/>
  <c r="Z9" i="1"/>
  <c r="Y9" i="1"/>
  <c r="X9" i="1"/>
  <c r="W9" i="1"/>
  <c r="V9" i="1"/>
  <c r="AA8" i="1"/>
  <c r="Z8" i="1"/>
  <c r="Y8" i="1"/>
  <c r="X8" i="1"/>
  <c r="W8" i="1"/>
  <c r="V8" i="1"/>
  <c r="AA7" i="1"/>
  <c r="Z7" i="1"/>
  <c r="Y7" i="1"/>
  <c r="X7" i="1"/>
  <c r="W7" i="1"/>
  <c r="V7" i="1"/>
  <c r="AA6" i="1"/>
  <c r="Z6" i="1"/>
  <c r="Y6" i="1"/>
  <c r="X6" i="1"/>
  <c r="W6" i="1"/>
  <c r="V6" i="1"/>
  <c r="AA5" i="1"/>
  <c r="Z5" i="1"/>
  <c r="Y5" i="1"/>
  <c r="X5" i="1"/>
  <c r="W5" i="1"/>
  <c r="V5" i="1"/>
  <c r="AA4" i="1" l="1"/>
  <c r="Z4" i="1"/>
  <c r="Y4" i="1"/>
  <c r="X4" i="1"/>
  <c r="W4" i="1"/>
  <c r="V4" i="1"/>
  <c r="T15" i="1" l="1"/>
  <c r="R15" i="1"/>
  <c r="P15" i="1"/>
  <c r="N15" i="1"/>
  <c r="L15" i="1"/>
  <c r="J15" i="1"/>
  <c r="H15" i="1"/>
  <c r="F15" i="1"/>
  <c r="D15" i="1"/>
  <c r="B15" i="1"/>
  <c r="A8" i="3" l="1"/>
  <c r="P8" i="3" l="1"/>
  <c r="Q8" i="3"/>
  <c r="A6" i="3"/>
  <c r="A4" i="3"/>
  <c r="Q4" i="3" s="1"/>
  <c r="A3" i="3"/>
  <c r="Q3" i="3" s="1"/>
  <c r="A7" i="3"/>
  <c r="Q7" i="3" s="1"/>
  <c r="A11" i="3"/>
  <c r="Q11" i="3" s="1"/>
  <c r="A10" i="3"/>
  <c r="Q10" i="3" s="1"/>
  <c r="A12" i="3"/>
  <c r="Q12" i="3" s="1"/>
  <c r="A9" i="3"/>
  <c r="P3" i="3" l="1"/>
  <c r="Q9" i="3"/>
  <c r="P6" i="3"/>
  <c r="Q6" i="3"/>
  <c r="P11" i="3"/>
  <c r="P10" i="3"/>
  <c r="P12" i="3"/>
  <c r="AG13" i="1"/>
  <c r="U16" i="1"/>
  <c r="AC13" i="1" s="1"/>
  <c r="T16" i="1"/>
  <c r="AB13" i="1" s="1"/>
  <c r="S16" i="1"/>
  <c r="R16" i="1"/>
  <c r="Q16" i="1"/>
  <c r="P16" i="1"/>
  <c r="O16" i="1"/>
  <c r="N16" i="1"/>
  <c r="M16" i="1"/>
  <c r="L16" i="1"/>
  <c r="K16" i="1"/>
  <c r="J16" i="1"/>
  <c r="I16" i="1"/>
  <c r="H16" i="1"/>
  <c r="G16" i="1"/>
  <c r="F16" i="1"/>
  <c r="E16" i="1"/>
  <c r="D16" i="1"/>
  <c r="C16" i="1"/>
  <c r="B16" i="1"/>
  <c r="U15" i="1"/>
  <c r="S15" i="1"/>
  <c r="Q15" i="1"/>
  <c r="O15" i="1"/>
  <c r="M15" i="1"/>
  <c r="K15" i="1"/>
  <c r="I15" i="1"/>
  <c r="G15" i="1"/>
  <c r="E15" i="1"/>
  <c r="C15" i="1"/>
  <c r="U14" i="1"/>
  <c r="AD13" i="1" s="1"/>
  <c r="T14" i="1"/>
  <c r="AE13" i="1" s="1"/>
  <c r="A13" i="1"/>
  <c r="A12" i="1"/>
  <c r="M119" i="12"/>
  <c r="N11" i="12"/>
  <c r="N105" i="12"/>
  <c r="N52" i="12"/>
  <c r="M136" i="12"/>
  <c r="M18" i="12"/>
  <c r="N131" i="12"/>
  <c r="N152" i="12"/>
  <c r="M183" i="12"/>
  <c r="M151" i="12"/>
  <c r="N106" i="12"/>
  <c r="M69" i="12"/>
  <c r="M128" i="12"/>
  <c r="M160" i="12"/>
  <c r="M23" i="12"/>
  <c r="N22" i="12"/>
  <c r="N19" i="12"/>
  <c r="M141" i="12"/>
  <c r="M79" i="12"/>
  <c r="M87" i="12"/>
  <c r="M121" i="12"/>
  <c r="N110" i="12"/>
  <c r="N62" i="12"/>
  <c r="N88" i="12"/>
  <c r="M127" i="12"/>
  <c r="N183" i="12"/>
  <c r="N172" i="12"/>
  <c r="M99" i="12"/>
  <c r="N187" i="12"/>
  <c r="N77" i="12"/>
  <c r="M173" i="12"/>
  <c r="N161" i="12"/>
  <c r="N45" i="12"/>
  <c r="M172" i="12"/>
  <c r="N122" i="12"/>
  <c r="N141" i="12"/>
  <c r="N146" i="12"/>
  <c r="M83" i="12"/>
  <c r="M51" i="12"/>
  <c r="M20" i="12"/>
  <c r="M174" i="12"/>
  <c r="M90" i="12"/>
  <c r="M30" i="12"/>
  <c r="N121" i="12"/>
  <c r="N133" i="12"/>
  <c r="N142" i="12"/>
  <c r="N76" i="12"/>
  <c r="M22" i="12"/>
  <c r="N59" i="12"/>
  <c r="M73" i="12"/>
  <c r="N120" i="12"/>
  <c r="N49" i="12"/>
  <c r="N143" i="12"/>
  <c r="N85" i="12"/>
  <c r="M81" i="12"/>
  <c r="M27" i="12"/>
  <c r="N16" i="12"/>
  <c r="M105" i="12"/>
  <c r="N65" i="12"/>
  <c r="M175" i="12"/>
  <c r="N123" i="12"/>
  <c r="N26" i="12"/>
  <c r="M116" i="12"/>
  <c r="M143" i="12"/>
  <c r="M122" i="12"/>
  <c r="N175" i="12"/>
  <c r="M36" i="12"/>
  <c r="M185" i="12"/>
  <c r="M5" i="12"/>
  <c r="N17" i="12"/>
  <c r="M180" i="12"/>
  <c r="N126" i="12"/>
  <c r="N47" i="12"/>
  <c r="N37" i="12"/>
  <c r="M66" i="12"/>
  <c r="M125" i="12"/>
  <c r="M188" i="12"/>
  <c r="N86" i="12"/>
  <c r="N38" i="12"/>
  <c r="N81" i="12"/>
  <c r="N149" i="12"/>
  <c r="M4" i="12"/>
  <c r="N79" i="12"/>
  <c r="M112" i="12"/>
  <c r="M157" i="12"/>
  <c r="N23" i="12"/>
  <c r="N32" i="12"/>
  <c r="M84" i="12"/>
  <c r="M54" i="12"/>
  <c r="M59" i="12"/>
  <c r="M115" i="12"/>
  <c r="N3" i="12"/>
  <c r="M132" i="12"/>
  <c r="M86" i="12"/>
  <c r="M35" i="12"/>
  <c r="N130" i="12"/>
  <c r="N173" i="12"/>
  <c r="M95" i="12"/>
  <c r="N67" i="12"/>
  <c r="M120" i="12"/>
  <c r="M77" i="12"/>
  <c r="M89" i="12"/>
  <c r="N91" i="12"/>
  <c r="N114" i="12"/>
  <c r="M55" i="12"/>
  <c r="M142" i="12"/>
  <c r="M147" i="12"/>
  <c r="M148" i="12"/>
  <c r="N111" i="12"/>
  <c r="M17" i="12"/>
  <c r="N48" i="12"/>
  <c r="M68" i="12"/>
  <c r="M11" i="12"/>
  <c r="M34" i="12"/>
  <c r="M91" i="12"/>
  <c r="N116" i="12"/>
  <c r="M82" i="12"/>
  <c r="N66" i="12"/>
  <c r="N118" i="12"/>
  <c r="N39" i="12"/>
  <c r="N115" i="12"/>
  <c r="M72" i="12"/>
  <c r="M96" i="12"/>
  <c r="M133" i="12"/>
  <c r="M32" i="12"/>
  <c r="M39" i="12"/>
  <c r="N166" i="12"/>
  <c r="M75" i="12"/>
  <c r="N174" i="12"/>
  <c r="M2" i="12"/>
  <c r="M58" i="12"/>
  <c r="N127" i="12"/>
  <c r="M170" i="12"/>
  <c r="M21" i="12"/>
  <c r="M103" i="12"/>
  <c r="M43" i="12"/>
  <c r="M48" i="12"/>
  <c r="M31" i="12"/>
  <c r="M145" i="12"/>
  <c r="M44" i="12"/>
  <c r="N94" i="12"/>
  <c r="N33" i="12"/>
  <c r="N89" i="12"/>
  <c r="M25" i="12"/>
  <c r="M177" i="12"/>
  <c r="M47" i="12"/>
  <c r="N181" i="12"/>
  <c r="M178" i="12"/>
  <c r="M144" i="12"/>
  <c r="N103" i="12"/>
  <c r="N177" i="12"/>
  <c r="N157" i="12"/>
  <c r="N35" i="12"/>
  <c r="N7" i="12"/>
  <c r="N137" i="12"/>
  <c r="M49" i="12"/>
  <c r="N44" i="12"/>
  <c r="N158" i="12"/>
  <c r="M187" i="12"/>
  <c r="N180" i="12"/>
  <c r="M131" i="12"/>
  <c r="N188" i="12"/>
  <c r="N99" i="12"/>
  <c r="M182" i="12"/>
  <c r="N40" i="12"/>
  <c r="M93" i="12"/>
  <c r="M134" i="12"/>
  <c r="N63" i="12"/>
  <c r="M6" i="12"/>
  <c r="N182" i="12"/>
  <c r="M184" i="12"/>
  <c r="N150" i="12"/>
  <c r="N132" i="12"/>
  <c r="M168" i="12"/>
  <c r="M138" i="12"/>
  <c r="M9" i="12"/>
  <c r="N82" i="12"/>
  <c r="N71" i="12"/>
  <c r="N144" i="12"/>
  <c r="N53" i="12"/>
  <c r="M94" i="12"/>
  <c r="N165" i="12"/>
  <c r="N119" i="12"/>
  <c r="N159" i="12"/>
  <c r="N168" i="12"/>
  <c r="N9" i="12"/>
  <c r="N56" i="12"/>
  <c r="N20" i="12"/>
  <c r="M139" i="12"/>
  <c r="M176" i="12"/>
  <c r="N134" i="12"/>
  <c r="N101" i="12"/>
  <c r="N93" i="12"/>
  <c r="M129" i="12"/>
  <c r="M117" i="12"/>
  <c r="N6" i="12"/>
  <c r="M65" i="12"/>
  <c r="N109" i="12"/>
  <c r="M186" i="12"/>
  <c r="M26" i="12"/>
  <c r="N97" i="12"/>
  <c r="N80" i="12"/>
  <c r="N124" i="12"/>
  <c r="M126" i="12"/>
  <c r="N29" i="12"/>
  <c r="N83" i="12"/>
  <c r="M162" i="12"/>
  <c r="N148" i="12"/>
  <c r="N18" i="12"/>
  <c r="M140" i="12"/>
  <c r="M109" i="12"/>
  <c r="M114" i="12"/>
  <c r="N185" i="12"/>
  <c r="N21" i="12"/>
  <c r="N2" i="12"/>
  <c r="N28" i="12"/>
  <c r="M56" i="12"/>
  <c r="M111" i="12"/>
  <c r="N41" i="12"/>
  <c r="N4" i="12"/>
  <c r="N24" i="12"/>
  <c r="M88" i="12"/>
  <c r="N31" i="12"/>
  <c r="N5" i="12"/>
  <c r="N117" i="12"/>
  <c r="N102" i="12"/>
  <c r="M74" i="12"/>
  <c r="M61" i="12"/>
  <c r="N61" i="12"/>
  <c r="M135" i="12"/>
  <c r="N13" i="12"/>
  <c r="N169" i="12"/>
  <c r="M38" i="12"/>
  <c r="M101" i="12"/>
  <c r="M164" i="12"/>
  <c r="N129" i="12"/>
  <c r="N107" i="12"/>
  <c r="M166" i="12"/>
  <c r="N70" i="12"/>
  <c r="N74" i="12"/>
  <c r="M24" i="12"/>
  <c r="N64" i="12"/>
  <c r="M29" i="12"/>
  <c r="N154" i="12"/>
  <c r="M171" i="12"/>
  <c r="M181" i="12"/>
  <c r="M123" i="12"/>
  <c r="M163" i="12"/>
  <c r="M146" i="12"/>
  <c r="N170" i="12"/>
  <c r="M110" i="12"/>
  <c r="M158" i="12"/>
  <c r="M60" i="12"/>
  <c r="M50" i="12"/>
  <c r="M113" i="12"/>
  <c r="N75" i="12"/>
  <c r="M40" i="12"/>
  <c r="N153" i="12"/>
  <c r="M150" i="12"/>
  <c r="M37" i="12"/>
  <c r="N125" i="12"/>
  <c r="N100" i="12"/>
  <c r="N145" i="12"/>
  <c r="M8" i="12"/>
  <c r="N46" i="12"/>
  <c r="M118" i="12"/>
  <c r="N167" i="12"/>
  <c r="N84" i="12"/>
  <c r="M45" i="12"/>
  <c r="M167" i="12"/>
  <c r="M100" i="12"/>
  <c r="N69" i="12"/>
  <c r="N73" i="12"/>
  <c r="N36" i="12"/>
  <c r="M16" i="12"/>
  <c r="N34" i="12"/>
  <c r="M78" i="12"/>
  <c r="N160" i="12"/>
  <c r="M71" i="12"/>
  <c r="N171" i="12"/>
  <c r="M7" i="12"/>
  <c r="M156" i="12"/>
  <c r="N14" i="12"/>
  <c r="M149" i="12"/>
  <c r="N156" i="12"/>
  <c r="M80" i="12"/>
  <c r="M106" i="12"/>
  <c r="M169" i="12"/>
  <c r="N135" i="12"/>
  <c r="M179" i="12"/>
  <c r="N51" i="12"/>
  <c r="M41" i="12"/>
  <c r="M14" i="12"/>
  <c r="N68" i="12"/>
  <c r="M42" i="12"/>
  <c r="M98" i="12"/>
  <c r="M130" i="12"/>
  <c r="M53" i="12"/>
  <c r="M3" i="12"/>
  <c r="M46" i="12"/>
  <c r="N179" i="12"/>
  <c r="N30" i="12"/>
  <c r="N10" i="12"/>
  <c r="N8" i="12"/>
  <c r="N108" i="12"/>
  <c r="N96" i="12"/>
  <c r="N50" i="12"/>
  <c r="M97" i="12"/>
  <c r="N186" i="12"/>
  <c r="M154" i="12"/>
  <c r="M165" i="12"/>
  <c r="N155" i="12"/>
  <c r="M102" i="12"/>
  <c r="M70" i="12"/>
  <c r="M108" i="12"/>
  <c r="N90" i="12"/>
  <c r="M12" i="12"/>
  <c r="M76" i="12"/>
  <c r="M10" i="12"/>
  <c r="N162" i="12"/>
  <c r="M63" i="12"/>
  <c r="M19" i="12"/>
  <c r="N15" i="12"/>
  <c r="M52" i="12"/>
  <c r="N12" i="12"/>
  <c r="M155" i="12"/>
  <c r="N163" i="12"/>
  <c r="M152" i="12"/>
  <c r="M159" i="12"/>
  <c r="M15" i="12"/>
  <c r="N60" i="12"/>
  <c r="N95" i="12"/>
  <c r="M57" i="12"/>
  <c r="M85" i="12"/>
  <c r="N151" i="12"/>
  <c r="N113" i="12"/>
  <c r="N27" i="12"/>
  <c r="M161" i="12"/>
  <c r="N72" i="12"/>
  <c r="N138" i="12"/>
  <c r="N164" i="12"/>
  <c r="N147" i="12"/>
  <c r="M104" i="12"/>
  <c r="N92" i="12"/>
  <c r="N58" i="12"/>
  <c r="N178" i="12"/>
  <c r="N140" i="12"/>
  <c r="N139" i="12"/>
  <c r="N128" i="12"/>
  <c r="N43" i="12"/>
  <c r="M137" i="12"/>
  <c r="N25" i="12"/>
  <c r="M62" i="12"/>
  <c r="N112" i="12"/>
  <c r="M33" i="12"/>
  <c r="M153" i="12"/>
  <c r="M67" i="12"/>
  <c r="N78" i="12"/>
  <c r="M92" i="12"/>
  <c r="N57" i="12"/>
  <c r="N42" i="12"/>
  <c r="N87" i="12"/>
  <c r="M64" i="12"/>
  <c r="N184" i="12"/>
  <c r="N55" i="12"/>
  <c r="N136" i="12"/>
  <c r="M107" i="12"/>
  <c r="M124" i="12"/>
  <c r="M28" i="12"/>
  <c r="N54" i="12"/>
  <c r="N176" i="12"/>
  <c r="M13" i="12"/>
  <c r="N104" i="12"/>
  <c r="N98" i="12"/>
  <c r="H7" i="10"/>
  <c r="K6" i="10"/>
  <c r="G5" i="10"/>
  <c r="I4" i="10"/>
  <c r="G10" i="10"/>
  <c r="B5" i="10"/>
  <c r="I11" i="10"/>
  <c r="F5" i="10"/>
  <c r="E9" i="10"/>
  <c r="G8" i="10"/>
  <c r="C13" i="10"/>
  <c r="E7" i="10"/>
  <c r="M2" i="2"/>
  <c r="K8" i="10"/>
  <c r="K5" i="10"/>
  <c r="J13" i="10"/>
  <c r="H10" i="10"/>
  <c r="M10" i="2"/>
  <c r="K10" i="10"/>
  <c r="D10" i="10"/>
  <c r="E10" i="10"/>
  <c r="D8" i="10"/>
  <c r="F4" i="10"/>
  <c r="F11" i="10"/>
  <c r="I10" i="10"/>
  <c r="F6" i="10"/>
  <c r="H5" i="10"/>
  <c r="C12" i="10"/>
  <c r="I7" i="10"/>
  <c r="C8" i="10"/>
  <c r="E11" i="10"/>
  <c r="C11" i="10"/>
  <c r="G12" i="10"/>
  <c r="M9" i="2"/>
  <c r="K7" i="10"/>
  <c r="B13" i="10"/>
  <c r="I6" i="10"/>
  <c r="B11" i="10"/>
  <c r="I12" i="10"/>
  <c r="D5" i="10"/>
  <c r="K4" i="10"/>
  <c r="J7" i="10"/>
  <c r="E13" i="10"/>
  <c r="J11" i="10"/>
  <c r="D12" i="10"/>
  <c r="E4" i="10"/>
  <c r="G7" i="10"/>
  <c r="M3" i="2"/>
  <c r="I9" i="10"/>
  <c r="E6" i="10"/>
  <c r="H4" i="10"/>
  <c r="K9" i="10"/>
  <c r="D11" i="10"/>
  <c r="B10" i="10"/>
  <c r="G4" i="10"/>
  <c r="H13" i="10"/>
  <c r="M7" i="2"/>
  <c r="M5" i="2"/>
  <c r="G6" i="10"/>
  <c r="B8" i="10"/>
  <c r="I8" i="10"/>
  <c r="H6" i="10"/>
  <c r="H12" i="10"/>
  <c r="C7" i="10"/>
  <c r="E8" i="10"/>
  <c r="C4" i="10"/>
  <c r="J5" i="10"/>
  <c r="G13" i="10"/>
  <c r="C10" i="10"/>
  <c r="J6" i="10"/>
  <c r="G9" i="10"/>
  <c r="F8" i="10"/>
  <c r="E5" i="10"/>
  <c r="C5" i="10"/>
  <c r="H8" i="10"/>
  <c r="J12" i="10"/>
  <c r="M6" i="2"/>
  <c r="H11" i="10"/>
  <c r="J10" i="10"/>
  <c r="J8" i="10"/>
  <c r="B7" i="10"/>
  <c r="I5" i="10"/>
  <c r="F12" i="10"/>
  <c r="G11" i="10"/>
  <c r="K13" i="10"/>
  <c r="K12" i="10"/>
  <c r="I13" i="10"/>
  <c r="M11" i="2"/>
  <c r="M8" i="2"/>
  <c r="B4" i="10"/>
  <c r="F9" i="10"/>
  <c r="D6" i="10"/>
  <c r="B12" i="10"/>
  <c r="D4" i="10"/>
  <c r="F10" i="10"/>
  <c r="J9" i="10"/>
  <c r="B6" i="10"/>
  <c r="C9" i="10"/>
  <c r="F7" i="10"/>
  <c r="E12" i="10"/>
  <c r="D13" i="10"/>
  <c r="F13" i="10"/>
  <c r="J4" i="10"/>
  <c r="H9" i="10"/>
  <c r="C6" i="10"/>
  <c r="M4" i="2"/>
  <c r="D7" i="10"/>
  <c r="D9" i="10"/>
  <c r="B9" i="10"/>
  <c r="K11" i="10"/>
  <c r="L68" i="12" l="1"/>
  <c r="K68" i="12"/>
  <c r="J68" i="12"/>
  <c r="L105" i="12"/>
  <c r="K105" i="12"/>
  <c r="J105" i="12"/>
  <c r="L63" i="12"/>
  <c r="J63" i="12"/>
  <c r="K63" i="12"/>
  <c r="G14" i="10"/>
  <c r="K120" i="12"/>
  <c r="J120" i="12"/>
  <c r="L120" i="12"/>
  <c r="L177" i="12"/>
  <c r="J177" i="12"/>
  <c r="K177" i="12"/>
  <c r="L140" i="12"/>
  <c r="K140" i="12"/>
  <c r="J140" i="12"/>
  <c r="K171" i="12"/>
  <c r="L171" i="12"/>
  <c r="J171" i="12"/>
  <c r="J175" i="12"/>
  <c r="L175" i="12"/>
  <c r="K175" i="12"/>
  <c r="L65" i="12"/>
  <c r="J65" i="12"/>
  <c r="K65" i="12"/>
  <c r="K81" i="12"/>
  <c r="L81" i="12"/>
  <c r="J81" i="12"/>
  <c r="K82" i="12"/>
  <c r="L82" i="12"/>
  <c r="J82" i="12"/>
  <c r="J166" i="12"/>
  <c r="K166" i="12"/>
  <c r="L166" i="12"/>
  <c r="J15" i="12"/>
  <c r="K15" i="12"/>
  <c r="L15" i="12"/>
  <c r="L76" i="12"/>
  <c r="J76" i="12"/>
  <c r="K76" i="12"/>
  <c r="J188" i="12"/>
  <c r="L188" i="12"/>
  <c r="K188" i="12"/>
  <c r="J29" i="12"/>
  <c r="L29" i="12"/>
  <c r="K29" i="12"/>
  <c r="J138" i="12"/>
  <c r="L138" i="12"/>
  <c r="K138" i="12"/>
  <c r="L141" i="12"/>
  <c r="K141" i="12"/>
  <c r="J141" i="12"/>
  <c r="J104" i="12"/>
  <c r="K104" i="12"/>
  <c r="L104" i="12"/>
  <c r="J151" i="12"/>
  <c r="L151" i="12"/>
  <c r="K151" i="12"/>
  <c r="L153" i="12"/>
  <c r="J153" i="12"/>
  <c r="K153" i="12"/>
  <c r="J152" i="12"/>
  <c r="K152" i="12"/>
  <c r="L152" i="12"/>
  <c r="L97" i="12"/>
  <c r="K97" i="12"/>
  <c r="J97" i="12"/>
  <c r="K169" i="12"/>
  <c r="J169" i="12"/>
  <c r="L169" i="12"/>
  <c r="J164" i="12"/>
  <c r="L164" i="12"/>
  <c r="K164" i="12"/>
  <c r="L48" i="12"/>
  <c r="K48" i="12"/>
  <c r="J48" i="12"/>
  <c r="K178" i="12"/>
  <c r="L178" i="12"/>
  <c r="J178" i="12"/>
  <c r="J106" i="12"/>
  <c r="L106" i="12"/>
  <c r="K106" i="12"/>
  <c r="J137" i="12"/>
  <c r="K137" i="12"/>
  <c r="L137" i="12"/>
  <c r="J101" i="12"/>
  <c r="L101" i="12"/>
  <c r="K101" i="12"/>
  <c r="L10" i="10"/>
  <c r="K148" i="12"/>
  <c r="J148" i="12"/>
  <c r="L148" i="12"/>
  <c r="L102" i="12"/>
  <c r="J102" i="12"/>
  <c r="K102" i="12"/>
  <c r="K142" i="12"/>
  <c r="L142" i="12"/>
  <c r="J142" i="12"/>
  <c r="L11" i="10"/>
  <c r="L69" i="12"/>
  <c r="J69" i="12"/>
  <c r="K69" i="12"/>
  <c r="K18" i="12"/>
  <c r="L18" i="12"/>
  <c r="J18" i="12"/>
  <c r="K20" i="12"/>
  <c r="J20" i="12"/>
  <c r="L20" i="12"/>
  <c r="B14" i="10"/>
  <c r="L4" i="10"/>
  <c r="L112" i="12"/>
  <c r="J112" i="12"/>
  <c r="K112" i="12"/>
  <c r="F14" i="10"/>
  <c r="J84" i="12"/>
  <c r="L84" i="12"/>
  <c r="K84" i="12"/>
  <c r="L130" i="12"/>
  <c r="K130" i="12"/>
  <c r="J130" i="12"/>
  <c r="L122" i="12"/>
  <c r="K122" i="12"/>
  <c r="J122" i="12"/>
  <c r="L183" i="12"/>
  <c r="J183" i="12"/>
  <c r="K183" i="12"/>
  <c r="J56" i="12"/>
  <c r="K56" i="12"/>
  <c r="L56" i="12"/>
  <c r="J162" i="12"/>
  <c r="K162" i="12"/>
  <c r="L162" i="12"/>
  <c r="K157" i="12"/>
  <c r="L157" i="12"/>
  <c r="J157" i="12"/>
  <c r="K174" i="12"/>
  <c r="J174" i="12"/>
  <c r="L174" i="12"/>
  <c r="K180" i="12"/>
  <c r="L180" i="12"/>
  <c r="J180" i="12"/>
  <c r="L90" i="12"/>
  <c r="J90" i="12"/>
  <c r="K90" i="12"/>
  <c r="K158" i="12"/>
  <c r="J158" i="12"/>
  <c r="L158" i="12"/>
  <c r="J32" i="12"/>
  <c r="K32" i="12"/>
  <c r="L32" i="12"/>
  <c r="L115" i="12"/>
  <c r="J115" i="12"/>
  <c r="K115" i="12"/>
  <c r="K147" i="12"/>
  <c r="L147" i="12"/>
  <c r="J147" i="12"/>
  <c r="L11" i="12"/>
  <c r="K11" i="12"/>
  <c r="J11" i="12"/>
  <c r="J34" i="12"/>
  <c r="L34" i="12"/>
  <c r="K34" i="12"/>
  <c r="K99" i="12"/>
  <c r="J99" i="12"/>
  <c r="L99" i="12"/>
  <c r="L91" i="12"/>
  <c r="J91" i="12"/>
  <c r="K91" i="12"/>
  <c r="L88" i="12"/>
  <c r="J88" i="12"/>
  <c r="K88" i="12"/>
  <c r="L94" i="12"/>
  <c r="J94" i="12"/>
  <c r="K94" i="12"/>
  <c r="J45" i="12"/>
  <c r="K45" i="12"/>
  <c r="L45" i="12"/>
  <c r="J154" i="12"/>
  <c r="K154" i="12"/>
  <c r="L154" i="12"/>
  <c r="K136" i="12"/>
  <c r="L136" i="12"/>
  <c r="J136" i="12"/>
  <c r="K44" i="12"/>
  <c r="J44" i="12"/>
  <c r="L44" i="12"/>
  <c r="J149" i="12"/>
  <c r="L149" i="12"/>
  <c r="K149" i="12"/>
  <c r="J24" i="12"/>
  <c r="K24" i="12"/>
  <c r="L24" i="12"/>
  <c r="K59" i="12"/>
  <c r="J59" i="12"/>
  <c r="L59" i="12"/>
  <c r="K161" i="12"/>
  <c r="J161" i="12"/>
  <c r="L161" i="12"/>
  <c r="K163" i="12"/>
  <c r="L163" i="12"/>
  <c r="J163" i="12"/>
  <c r="J27" i="12"/>
  <c r="L27" i="12"/>
  <c r="K27" i="12"/>
  <c r="L83" i="12"/>
  <c r="K83" i="12"/>
  <c r="J83" i="12"/>
  <c r="L184" i="12"/>
  <c r="K184" i="12"/>
  <c r="J184" i="12"/>
  <c r="L43" i="12"/>
  <c r="J43" i="12"/>
  <c r="K43" i="12"/>
  <c r="C14" i="10"/>
  <c r="L78" i="12"/>
  <c r="K78" i="12"/>
  <c r="J78" i="12"/>
  <c r="H14" i="10"/>
  <c r="K85" i="12"/>
  <c r="L85" i="12"/>
  <c r="J85" i="12"/>
  <c r="K93" i="12"/>
  <c r="L93" i="12"/>
  <c r="J93" i="12"/>
  <c r="K35" i="12"/>
  <c r="L35" i="12"/>
  <c r="J35" i="12"/>
  <c r="K13" i="12"/>
  <c r="J13" i="12"/>
  <c r="L13" i="12"/>
  <c r="L167" i="12"/>
  <c r="K167" i="12"/>
  <c r="J167" i="12"/>
  <c r="L89" i="12"/>
  <c r="J89" i="12"/>
  <c r="K89" i="12"/>
  <c r="L100" i="12"/>
  <c r="K100" i="12"/>
  <c r="J100" i="12"/>
  <c r="L150" i="12"/>
  <c r="K150" i="12"/>
  <c r="J150" i="12"/>
  <c r="L124" i="12"/>
  <c r="K124" i="12"/>
  <c r="J124" i="12"/>
  <c r="J37" i="12"/>
  <c r="L37" i="12"/>
  <c r="K37" i="12"/>
  <c r="J87" i="12"/>
  <c r="L87" i="12"/>
  <c r="K87" i="12"/>
  <c r="J72" i="12"/>
  <c r="L72" i="12"/>
  <c r="K72" i="12"/>
  <c r="J77" i="12"/>
  <c r="K77" i="12"/>
  <c r="L77" i="12"/>
  <c r="L119" i="12"/>
  <c r="J119" i="12"/>
  <c r="K119" i="12"/>
  <c r="K30" i="12"/>
  <c r="L30" i="12"/>
  <c r="J30" i="12"/>
  <c r="K173" i="12"/>
  <c r="J173" i="12"/>
  <c r="L173" i="12"/>
  <c r="J5" i="12"/>
  <c r="L5" i="12"/>
  <c r="K5" i="12"/>
  <c r="K143" i="12"/>
  <c r="L143" i="12"/>
  <c r="J143" i="12"/>
  <c r="J6" i="12"/>
  <c r="L6" i="12"/>
  <c r="K6" i="12"/>
  <c r="K118" i="12"/>
  <c r="J118" i="12"/>
  <c r="L118" i="12"/>
  <c r="L58" i="12"/>
  <c r="K58" i="12"/>
  <c r="J58" i="12"/>
  <c r="J7" i="12"/>
  <c r="L7" i="12"/>
  <c r="K7" i="12"/>
  <c r="J73" i="12"/>
  <c r="L73" i="12"/>
  <c r="K73" i="12"/>
  <c r="L187" i="12"/>
  <c r="J187" i="12"/>
  <c r="K187" i="12"/>
  <c r="K107" i="12"/>
  <c r="L107" i="12"/>
  <c r="J107" i="12"/>
  <c r="J23" i="12"/>
  <c r="L23" i="12"/>
  <c r="K23" i="12"/>
  <c r="L8" i="12"/>
  <c r="J8" i="12"/>
  <c r="K8" i="12"/>
  <c r="J2" i="12"/>
  <c r="L2" i="12"/>
  <c r="K2" i="12"/>
  <c r="J129" i="12"/>
  <c r="L129" i="12"/>
  <c r="K129" i="12"/>
  <c r="L79" i="12"/>
  <c r="K79" i="12"/>
  <c r="J79" i="12"/>
  <c r="K159" i="12"/>
  <c r="L159" i="12"/>
  <c r="J159" i="12"/>
  <c r="L125" i="12"/>
  <c r="J125" i="12"/>
  <c r="K125" i="12"/>
  <c r="J51" i="12"/>
  <c r="L51" i="12"/>
  <c r="K51" i="12"/>
  <c r="K96" i="12"/>
  <c r="J96" i="12"/>
  <c r="L96" i="12"/>
  <c r="K71" i="12"/>
  <c r="J71" i="12"/>
  <c r="L71" i="12"/>
  <c r="L182" i="12"/>
  <c r="J182" i="12"/>
  <c r="K182" i="12"/>
  <c r="K12" i="12"/>
  <c r="J12" i="12"/>
  <c r="L12" i="12"/>
  <c r="J28" i="12"/>
  <c r="K28" i="12"/>
  <c r="L28" i="12"/>
  <c r="K114" i="12"/>
  <c r="J114" i="12"/>
  <c r="L114" i="12"/>
  <c r="L13" i="10"/>
  <c r="L123" i="12"/>
  <c r="K123" i="12"/>
  <c r="J123" i="12"/>
  <c r="L121" i="12"/>
  <c r="J121" i="12"/>
  <c r="K121" i="12"/>
  <c r="L144" i="12"/>
  <c r="K144" i="12"/>
  <c r="J144" i="12"/>
  <c r="K64" i="12"/>
  <c r="J64" i="12"/>
  <c r="L64" i="12"/>
  <c r="K22" i="12"/>
  <c r="J22" i="12"/>
  <c r="L22" i="12"/>
  <c r="J109" i="12"/>
  <c r="K109" i="12"/>
  <c r="L109" i="12"/>
  <c r="K176" i="12"/>
  <c r="J176" i="12"/>
  <c r="L176" i="12"/>
  <c r="J74" i="12"/>
  <c r="K74" i="12"/>
  <c r="L74" i="12"/>
  <c r="L179" i="12"/>
  <c r="K179" i="12"/>
  <c r="J179" i="12"/>
  <c r="K54" i="12"/>
  <c r="J54" i="12"/>
  <c r="L54" i="12"/>
  <c r="L25" i="12"/>
  <c r="K25" i="12"/>
  <c r="J25" i="12"/>
  <c r="J156" i="12"/>
  <c r="K156" i="12"/>
  <c r="L156" i="12"/>
  <c r="L165" i="12"/>
  <c r="K165" i="12"/>
  <c r="J165" i="12"/>
  <c r="L172" i="12"/>
  <c r="K172" i="12"/>
  <c r="J172" i="12"/>
  <c r="K46" i="12"/>
  <c r="L46" i="12"/>
  <c r="J46" i="12"/>
  <c r="K128" i="12"/>
  <c r="J128" i="12"/>
  <c r="L128" i="12"/>
  <c r="K116" i="12"/>
  <c r="L116" i="12"/>
  <c r="J116" i="12"/>
  <c r="L145" i="12"/>
  <c r="J145" i="12"/>
  <c r="K145" i="12"/>
  <c r="D14" i="10"/>
  <c r="L7" i="10"/>
  <c r="K135" i="12"/>
  <c r="L135" i="12"/>
  <c r="J135" i="12"/>
  <c r="K108" i="12"/>
  <c r="L108" i="12"/>
  <c r="J108" i="12"/>
  <c r="K139" i="12"/>
  <c r="J139" i="12"/>
  <c r="L139" i="12"/>
  <c r="K52" i="12"/>
  <c r="L52" i="12"/>
  <c r="J52" i="12"/>
  <c r="L60" i="12"/>
  <c r="J60" i="12"/>
  <c r="K60" i="12"/>
  <c r="J131" i="12"/>
  <c r="K131" i="12"/>
  <c r="L131" i="12"/>
  <c r="L49" i="12"/>
  <c r="J49" i="12"/>
  <c r="K49" i="12"/>
  <c r="K95" i="12"/>
  <c r="J95" i="12"/>
  <c r="L95" i="12"/>
  <c r="L14" i="12"/>
  <c r="J14" i="12"/>
  <c r="K14" i="12"/>
  <c r="J4" i="12"/>
  <c r="K4" i="12"/>
  <c r="L4" i="12"/>
  <c r="K98" i="12"/>
  <c r="J98" i="12"/>
  <c r="L98" i="12"/>
  <c r="J16" i="12"/>
  <c r="K16" i="12"/>
  <c r="L16" i="12"/>
  <c r="L53" i="12"/>
  <c r="K53" i="12"/>
  <c r="J53" i="12"/>
  <c r="K92" i="12"/>
  <c r="L92" i="12"/>
  <c r="J92" i="12"/>
  <c r="L6" i="10"/>
  <c r="K160" i="12"/>
  <c r="J160" i="12"/>
  <c r="L160" i="12"/>
  <c r="L126" i="12"/>
  <c r="K126" i="12"/>
  <c r="J126" i="12"/>
  <c r="J103" i="12"/>
  <c r="L103" i="12"/>
  <c r="K103" i="12"/>
  <c r="L132" i="12"/>
  <c r="K132" i="12"/>
  <c r="J132" i="12"/>
  <c r="L67" i="12"/>
  <c r="K67" i="12"/>
  <c r="J67" i="12"/>
  <c r="L38" i="12"/>
  <c r="K38" i="12"/>
  <c r="J38" i="12"/>
  <c r="K26" i="12"/>
  <c r="L26" i="12"/>
  <c r="J26" i="12"/>
  <c r="K111" i="12"/>
  <c r="J111" i="12"/>
  <c r="L111" i="12"/>
  <c r="L66" i="12"/>
  <c r="K66" i="12"/>
  <c r="J66" i="12"/>
  <c r="J70" i="12"/>
  <c r="K70" i="12"/>
  <c r="L70" i="12"/>
  <c r="L10" i="12"/>
  <c r="J10" i="12"/>
  <c r="K10" i="12"/>
  <c r="L55" i="12"/>
  <c r="K55" i="12"/>
  <c r="J55" i="12"/>
  <c r="K57" i="12"/>
  <c r="J57" i="12"/>
  <c r="L57" i="12"/>
  <c r="L42" i="12"/>
  <c r="K42" i="12"/>
  <c r="J42" i="12"/>
  <c r="K19" i="12"/>
  <c r="L19" i="12"/>
  <c r="J19" i="12"/>
  <c r="K155" i="12"/>
  <c r="L155" i="12"/>
  <c r="J155" i="12"/>
  <c r="J14" i="10"/>
  <c r="J181" i="12"/>
  <c r="L181" i="12"/>
  <c r="K181" i="12"/>
  <c r="L185" i="12"/>
  <c r="K185" i="12"/>
  <c r="J185" i="12"/>
  <c r="L86" i="12"/>
  <c r="K86" i="12"/>
  <c r="J86" i="12"/>
  <c r="K50" i="12"/>
  <c r="L50" i="12"/>
  <c r="J50" i="12"/>
  <c r="L133" i="12"/>
  <c r="K133" i="12"/>
  <c r="J133" i="12"/>
  <c r="J31" i="12"/>
  <c r="K31" i="12"/>
  <c r="L31" i="12"/>
  <c r="L39" i="12"/>
  <c r="K39" i="12"/>
  <c r="J39" i="12"/>
  <c r="K21" i="12"/>
  <c r="J21" i="12"/>
  <c r="L21" i="12"/>
  <c r="L12" i="10"/>
  <c r="K62" i="12"/>
  <c r="J62" i="12"/>
  <c r="L62" i="12"/>
  <c r="K47" i="12"/>
  <c r="J47" i="12"/>
  <c r="L47" i="12"/>
  <c r="L186" i="12"/>
  <c r="K186" i="12"/>
  <c r="J186" i="12"/>
  <c r="L113" i="12"/>
  <c r="K113" i="12"/>
  <c r="J113" i="12"/>
  <c r="J127" i="12"/>
  <c r="K127" i="12"/>
  <c r="L127" i="12"/>
  <c r="K36" i="12"/>
  <c r="L36" i="12"/>
  <c r="J36" i="12"/>
  <c r="E14" i="10"/>
  <c r="L80" i="12"/>
  <c r="J80" i="12"/>
  <c r="K80" i="12"/>
  <c r="J9" i="12"/>
  <c r="L9" i="12"/>
  <c r="K9" i="12"/>
  <c r="K117" i="12"/>
  <c r="J117" i="12"/>
  <c r="L117" i="12"/>
  <c r="J17" i="12"/>
  <c r="K17" i="12"/>
  <c r="L17" i="12"/>
  <c r="K75" i="12"/>
  <c r="J75" i="12"/>
  <c r="L75" i="12"/>
  <c r="K40" i="12"/>
  <c r="J40" i="12"/>
  <c r="L40" i="12"/>
  <c r="L168" i="12"/>
  <c r="J168" i="12"/>
  <c r="K168" i="12"/>
  <c r="L41" i="12"/>
  <c r="K41" i="12"/>
  <c r="J41" i="12"/>
  <c r="L3" i="12"/>
  <c r="K3" i="12"/>
  <c r="J3" i="12"/>
  <c r="J33" i="12"/>
  <c r="L33" i="12"/>
  <c r="K33" i="12"/>
  <c r="J170" i="12"/>
  <c r="L170" i="12"/>
  <c r="K170" i="12"/>
  <c r="L134" i="12"/>
  <c r="J134" i="12"/>
  <c r="K134" i="12"/>
  <c r="K61" i="12"/>
  <c r="L61" i="12"/>
  <c r="J61" i="12"/>
  <c r="L110" i="12"/>
  <c r="K110" i="12"/>
  <c r="J110" i="12"/>
  <c r="L5" i="10"/>
  <c r="K146" i="12"/>
  <c r="L146" i="12"/>
  <c r="J146" i="12"/>
  <c r="L9" i="10"/>
  <c r="AF13" i="1"/>
  <c r="T3" i="1"/>
  <c r="AF12" i="1"/>
  <c r="AG12" i="1"/>
  <c r="R3" i="1"/>
  <c r="AB6" i="1"/>
  <c r="AC12" i="1"/>
  <c r="AB12" i="1"/>
  <c r="A11" i="1"/>
  <c r="A10" i="1"/>
  <c r="A9" i="1"/>
  <c r="A8" i="1"/>
  <c r="A7" i="1"/>
  <c r="A6" i="1"/>
  <c r="A4" i="1"/>
  <c r="A5" i="1"/>
  <c r="A5" i="3"/>
  <c r="Q5" i="3" s="1"/>
  <c r="G15" i="10" l="1"/>
  <c r="C15" i="10"/>
  <c r="E15" i="10"/>
  <c r="J15" i="10"/>
  <c r="B15" i="10"/>
  <c r="D15" i="10"/>
  <c r="H15" i="10"/>
  <c r="P9" i="3"/>
  <c r="P5" i="3"/>
  <c r="P7" i="3"/>
  <c r="P4" i="3"/>
  <c r="O9" i="3"/>
  <c r="O3" i="3"/>
  <c r="O6" i="3"/>
  <c r="O7" i="3"/>
  <c r="O5" i="3"/>
  <c r="O12" i="3"/>
  <c r="O11" i="3"/>
  <c r="O10" i="3"/>
  <c r="O8" i="3"/>
  <c r="O4" i="3"/>
  <c r="I8" i="3"/>
  <c r="H6" i="3"/>
  <c r="H8" i="3"/>
  <c r="I6" i="3"/>
  <c r="F8" i="3"/>
  <c r="E8" i="3"/>
  <c r="C8" i="3"/>
  <c r="D8" i="3"/>
  <c r="AI12" i="1"/>
  <c r="D6" i="3"/>
  <c r="C6" i="3"/>
  <c r="D12" i="3"/>
  <c r="B2" i="5"/>
  <c r="D2" i="5" s="1"/>
  <c r="BE12" i="1" l="1"/>
  <c r="BE7" i="1"/>
  <c r="BE13" i="1"/>
  <c r="BE8" i="1"/>
  <c r="BE9" i="1"/>
  <c r="BE5" i="1"/>
  <c r="BE11" i="1"/>
  <c r="BE4" i="1"/>
  <c r="BE10" i="1"/>
  <c r="BE6" i="1"/>
  <c r="AT14" i="1"/>
  <c r="O13" i="3"/>
  <c r="K6" i="3"/>
  <c r="K8" i="3"/>
  <c r="J8" i="3"/>
  <c r="J6" i="3"/>
  <c r="C2" i="5"/>
  <c r="BE14" i="1" l="1"/>
  <c r="L6" i="3"/>
  <c r="N6" i="3"/>
  <c r="N8" i="3"/>
  <c r="L8" i="3"/>
  <c r="K1" i="2"/>
  <c r="J1" i="2"/>
  <c r="AC11" i="1" l="1"/>
  <c r="AB11" i="1"/>
  <c r="AG11" i="1"/>
  <c r="I4" i="3" s="1"/>
  <c r="AG10" i="1"/>
  <c r="I3" i="3" s="1"/>
  <c r="AG9" i="1"/>
  <c r="I7" i="3" s="1"/>
  <c r="AG8" i="1"/>
  <c r="I11" i="3" s="1"/>
  <c r="AG7" i="1"/>
  <c r="I10" i="3" s="1"/>
  <c r="AG6" i="1"/>
  <c r="I12" i="3" s="1"/>
  <c r="AG5" i="1"/>
  <c r="I9" i="3" s="1"/>
  <c r="AF11" i="1"/>
  <c r="AF10" i="1"/>
  <c r="AF9" i="1"/>
  <c r="AF8" i="1"/>
  <c r="AF7" i="1"/>
  <c r="AF6" i="1"/>
  <c r="H12" i="3" s="1"/>
  <c r="AF5" i="1"/>
  <c r="J12" i="3" l="1"/>
  <c r="H7" i="3"/>
  <c r="H9" i="3"/>
  <c r="H3" i="3"/>
  <c r="H10" i="3"/>
  <c r="H4" i="3"/>
  <c r="H11" i="3"/>
  <c r="D4" i="3"/>
  <c r="C4" i="3"/>
  <c r="B8" i="3"/>
  <c r="AI13" i="1"/>
  <c r="AI11" i="1"/>
  <c r="AG4" i="1"/>
  <c r="I5" i="3" s="1"/>
  <c r="P3" i="1"/>
  <c r="N3" i="1"/>
  <c r="L3" i="1"/>
  <c r="S14" i="1"/>
  <c r="R14" i="1"/>
  <c r="Q14" i="1"/>
  <c r="AD11" i="1" s="1"/>
  <c r="E4" i="3" s="1"/>
  <c r="P14" i="1"/>
  <c r="AE11" i="1" s="1"/>
  <c r="F4" i="3" s="1"/>
  <c r="J9" i="3" l="1"/>
  <c r="J4" i="3"/>
  <c r="J7" i="3"/>
  <c r="J3" i="3"/>
  <c r="J11" i="3"/>
  <c r="J10" i="3"/>
  <c r="K4" i="3"/>
  <c r="AE12" i="1"/>
  <c r="F6" i="3" s="1"/>
  <c r="AD12" i="1"/>
  <c r="E6" i="3" s="1"/>
  <c r="AH11" i="1"/>
  <c r="G4" i="3" s="1"/>
  <c r="AI9" i="1"/>
  <c r="AF4" i="1"/>
  <c r="H5" i="3" s="1"/>
  <c r="N4" i="3" l="1"/>
  <c r="J5" i="3"/>
  <c r="L4" i="3"/>
  <c r="AH12" i="1"/>
  <c r="G6" i="3" s="1"/>
  <c r="AH13" i="1"/>
  <c r="G8" i="3" s="1"/>
  <c r="AI10" i="1"/>
  <c r="AI8" i="1"/>
  <c r="AI6" i="1"/>
  <c r="AI7" i="1"/>
  <c r="AI4" i="1"/>
  <c r="AI5" i="1"/>
  <c r="O14" i="1" l="1"/>
  <c r="N14" i="1"/>
  <c r="AC9" i="1"/>
  <c r="C7" i="3" s="1"/>
  <c r="AB9" i="1"/>
  <c r="D7" i="3" s="1"/>
  <c r="M14" i="1"/>
  <c r="AD9" i="1" s="1"/>
  <c r="E7" i="3" s="1"/>
  <c r="L14" i="1"/>
  <c r="AE9" i="1" s="1"/>
  <c r="F7" i="3" s="1"/>
  <c r="K14" i="1"/>
  <c r="J14" i="1"/>
  <c r="I14" i="1"/>
  <c r="H14" i="1"/>
  <c r="E14" i="1"/>
  <c r="D14" i="1"/>
  <c r="C14" i="1"/>
  <c r="B14" i="1"/>
  <c r="K7" i="3" l="1"/>
  <c r="B4" i="3"/>
  <c r="AH9" i="1"/>
  <c r="G7" i="3" s="1"/>
  <c r="AE8" i="1"/>
  <c r="F11" i="3" s="1"/>
  <c r="AC8" i="1"/>
  <c r="C11" i="3" s="1"/>
  <c r="AE10" i="1"/>
  <c r="F3" i="3" s="1"/>
  <c r="AB10" i="1"/>
  <c r="D3" i="3" s="1"/>
  <c r="AD8" i="1"/>
  <c r="E11" i="3" s="1"/>
  <c r="AE7" i="1"/>
  <c r="F10" i="3" s="1"/>
  <c r="AB7" i="1"/>
  <c r="D10" i="3" s="1"/>
  <c r="AC7" i="1"/>
  <c r="C10" i="3" s="1"/>
  <c r="AD7" i="1"/>
  <c r="E10" i="3" s="1"/>
  <c r="AE5" i="1"/>
  <c r="F9" i="3" s="1"/>
  <c r="AB5" i="1"/>
  <c r="D9" i="3" s="1"/>
  <c r="AD5" i="1"/>
  <c r="E9" i="3" s="1"/>
  <c r="AC5" i="1"/>
  <c r="C9" i="3" s="1"/>
  <c r="AD10" i="1"/>
  <c r="E3" i="3" s="1"/>
  <c r="AC10" i="1"/>
  <c r="C3" i="3" s="1"/>
  <c r="AB8" i="1"/>
  <c r="D11" i="3" s="1"/>
  <c r="AC4" i="1"/>
  <c r="C5" i="3" s="1"/>
  <c r="AB4" i="1"/>
  <c r="D5" i="3" s="1"/>
  <c r="AE4" i="1"/>
  <c r="F5" i="3" s="1"/>
  <c r="AD4" i="1"/>
  <c r="E5" i="3" s="1"/>
  <c r="G14" i="1"/>
  <c r="F14" i="1"/>
  <c r="AE6" i="1" s="1"/>
  <c r="F12" i="3" s="1"/>
  <c r="L7" i="3" l="1"/>
  <c r="N7" i="3"/>
  <c r="K11" i="3"/>
  <c r="K3" i="3"/>
  <c r="K5" i="3"/>
  <c r="K9" i="3"/>
  <c r="K10" i="3"/>
  <c r="B9" i="3"/>
  <c r="B7" i="3"/>
  <c r="B11" i="3"/>
  <c r="B5" i="3"/>
  <c r="B3" i="3"/>
  <c r="AH8" i="1"/>
  <c r="G11" i="3" s="1"/>
  <c r="AH10" i="1"/>
  <c r="G3" i="3" s="1"/>
  <c r="AH7" i="1"/>
  <c r="G10" i="3" s="1"/>
  <c r="AH5" i="1"/>
  <c r="G9" i="3" s="1"/>
  <c r="AH4" i="1"/>
  <c r="G5" i="3" s="1"/>
  <c r="AC6" i="1"/>
  <c r="C12" i="3" s="1"/>
  <c r="AD6" i="1"/>
  <c r="E12" i="3" s="1"/>
  <c r="L11" i="3" l="1"/>
  <c r="N11" i="3"/>
  <c r="N10" i="3"/>
  <c r="L10" i="3"/>
  <c r="N9" i="3"/>
  <c r="L9" i="3"/>
  <c r="L5" i="3"/>
  <c r="N5" i="3"/>
  <c r="L3" i="3"/>
  <c r="N3" i="3"/>
  <c r="K12" i="3"/>
  <c r="B6" i="3"/>
  <c r="B12" i="3"/>
  <c r="B10" i="3"/>
  <c r="AH6" i="1"/>
  <c r="G12" i="3" s="1"/>
  <c r="N12" i="3" l="1"/>
  <c r="L12" i="3"/>
  <c r="K13" i="3"/>
  <c r="E2" i="5" s="1"/>
  <c r="H1" i="2"/>
  <c r="G1" i="2"/>
  <c r="F1" i="2"/>
  <c r="I1" i="2"/>
  <c r="E1" i="2"/>
  <c r="D1" i="2"/>
  <c r="C1" i="2"/>
  <c r="B1" i="2"/>
  <c r="L13" i="3" l="1"/>
  <c r="F2" i="5"/>
  <c r="B13" i="3"/>
  <c r="J3" i="1"/>
  <c r="H3" i="1"/>
  <c r="F3" i="1"/>
  <c r="D3" i="1"/>
  <c r="B3" i="1"/>
  <c r="K14" i="10"/>
  <c r="K15" i="10" s="1"/>
  <c r="I14" i="10"/>
  <c r="I15" i="10" s="1"/>
  <c r="L8" i="10"/>
  <c r="F15" i="10" s="1"/>
</calcChain>
</file>

<file path=xl/sharedStrings.xml><?xml version="1.0" encoding="utf-8"?>
<sst xmlns="http://schemas.openxmlformats.org/spreadsheetml/2006/main" count="1760" uniqueCount="259">
  <si>
    <t>+</t>
  </si>
  <si>
    <t>-</t>
  </si>
  <si>
    <t>Verlorene/Siege</t>
  </si>
  <si>
    <t>Horizontal</t>
  </si>
  <si>
    <t>Punkte absolut</t>
  </si>
  <si>
    <t>Punkte beendete</t>
  </si>
  <si>
    <t>all</t>
  </si>
  <si>
    <t>finished</t>
  </si>
  <si>
    <t>total</t>
  </si>
  <si>
    <t>Horizontal + Vertical</t>
  </si>
  <si>
    <t>lost</t>
  </si>
  <si>
    <t>won</t>
  </si>
  <si>
    <t>finished matches</t>
  </si>
  <si>
    <t>Player</t>
  </si>
  <si>
    <t>Important: Enter Player names in column A and sort alphabetically</t>
  </si>
  <si>
    <t>all matches</t>
  </si>
  <si>
    <t>Matches / Player</t>
  </si>
  <si>
    <t>Total Matches</t>
  </si>
  <si>
    <t>Finished Matches</t>
  </si>
  <si>
    <t>Finished Matches %</t>
  </si>
  <si>
    <t>No. Of Players</t>
  </si>
  <si>
    <t>All</t>
  </si>
  <si>
    <t>Group</t>
  </si>
  <si>
    <t>finished %</t>
  </si>
  <si>
    <t>-----</t>
  </si>
  <si>
    <t>max won</t>
  </si>
  <si>
    <t>Select group:</t>
  </si>
  <si>
    <t>Enter DG-Nick</t>
  </si>
  <si>
    <t>promotion 1
relegation -1
remain 0</t>
  </si>
  <si>
    <t>Finished</t>
  </si>
  <si>
    <t>finished at</t>
  </si>
  <si>
    <t>First finished</t>
  </si>
  <si>
    <t>No. Of relegations</t>
  </si>
  <si>
    <t>No. of promotions</t>
  </si>
  <si>
    <t>League</t>
  </si>
  <si>
    <t>MaxPlayers</t>
  </si>
  <si>
    <t>@echo off</t>
  </si>
  <si>
    <t>Relegation</t>
  </si>
  <si>
    <t>Progress via Max</t>
  </si>
  <si>
    <t>Progress via Turz</t>
  </si>
  <si>
    <t>Prognosis</t>
  </si>
  <si>
    <t>Won</t>
  </si>
  <si>
    <t>Lost</t>
  </si>
  <si>
    <t>PC</t>
  </si>
  <si>
    <t>No. Open</t>
  </si>
  <si>
    <t>ME-Summary</t>
  </si>
  <si>
    <t>ME-Prognosis</t>
  </si>
  <si>
    <t>ME-Won</t>
  </si>
  <si>
    <t>ME-Lost</t>
  </si>
  <si>
    <t>Table Won-Prognosis</t>
  </si>
  <si>
    <t>Table Lost-Prognosis</t>
  </si>
  <si>
    <t>won
(ME-Prognosis)</t>
  </si>
  <si>
    <t>Empty</t>
  </si>
  <si>
    <t>Animalj</t>
  </si>
  <si>
    <t>API</t>
  </si>
  <si>
    <t>Cafeplayer</t>
  </si>
  <si>
    <t>dzsobacsi</t>
  </si>
  <si>
    <t>hcc1670</t>
  </si>
  <si>
    <t>Mattias Roos</t>
  </si>
  <si>
    <t>Sandr</t>
  </si>
  <si>
    <t>Zenswang</t>
  </si>
  <si>
    <t>Nr.</t>
  </si>
  <si>
    <t>Gruppe</t>
  </si>
  <si>
    <t>Grace</t>
  </si>
  <si>
    <t>Pool</t>
  </si>
  <si>
    <t>Gap</t>
  </si>
  <si>
    <t>Points</t>
  </si>
  <si>
    <t>Player A (site)</t>
  </si>
  <si>
    <t>Match-Link</t>
  </si>
  <si>
    <t>Player B (site)</t>
  </si>
  <si>
    <t>Partie</t>
  </si>
  <si>
    <t>Player A</t>
  </si>
  <si>
    <t>Player B</t>
  </si>
  <si>
    <t>Hinspiel</t>
  </si>
  <si>
    <t>Url</t>
  </si>
  <si>
    <t>6.</t>
  </si>
  <si>
    <t>Review</t>
  </si>
  <si>
    <t>7.</t>
  </si>
  <si>
    <t>9.</t>
  </si>
  <si>
    <t>10.</t>
  </si>
  <si>
    <t>11.</t>
  </si>
  <si>
    <t>12.</t>
  </si>
  <si>
    <t>8.</t>
  </si>
  <si>
    <t>n/a</t>
  </si>
  <si>
    <t>3.</t>
  </si>
  <si>
    <t>5.</t>
  </si>
  <si>
    <t>20.</t>
  </si>
  <si>
    <t>19.</t>
  </si>
  <si>
    <t>18.</t>
  </si>
  <si>
    <t>24.</t>
  </si>
  <si>
    <t>25.</t>
  </si>
  <si>
    <t>21.</t>
  </si>
  <si>
    <t>32.</t>
  </si>
  <si>
    <t>34.</t>
  </si>
  <si>
    <t>30.</t>
  </si>
  <si>
    <t>31.</t>
  </si>
  <si>
    <t>38.</t>
  </si>
  <si>
    <t>4.</t>
  </si>
  <si>
    <t>14.</t>
  </si>
  <si>
    <t>13.</t>
  </si>
  <si>
    <t>17.</t>
  </si>
  <si>
    <t>26.</t>
  </si>
  <si>
    <t>37.</t>
  </si>
  <si>
    <t>15.</t>
  </si>
  <si>
    <t>36.</t>
  </si>
  <si>
    <t>35.</t>
  </si>
  <si>
    <t>28.</t>
  </si>
  <si>
    <t>40.</t>
  </si>
  <si>
    <t>16.</t>
  </si>
  <si>
    <t>22.</t>
  </si>
  <si>
    <t>29.</t>
  </si>
  <si>
    <t>23.</t>
  </si>
  <si>
    <t>27.</t>
  </si>
  <si>
    <t>30th-season-1a</t>
  </si>
  <si>
    <t>skonaman</t>
  </si>
  <si>
    <t>phinneas</t>
  </si>
  <si>
    <t>1.</t>
  </si>
  <si>
    <t>2.</t>
  </si>
  <si>
    <t>33.</t>
  </si>
  <si>
    <t>54.</t>
  </si>
  <si>
    <t>55.</t>
  </si>
  <si>
    <t>56.</t>
  </si>
  <si>
    <t>57.</t>
  </si>
  <si>
    <t>58.</t>
  </si>
  <si>
    <t>59.</t>
  </si>
  <si>
    <t>60.</t>
  </si>
  <si>
    <t>61.</t>
  </si>
  <si>
    <t>62.</t>
  </si>
  <si>
    <t>63.</t>
  </si>
  <si>
    <t>64.</t>
  </si>
  <si>
    <t>65.</t>
  </si>
  <si>
    <t>66.</t>
  </si>
  <si>
    <t>67.</t>
  </si>
  <si>
    <t>Stratified Sevens #3388 Group 1</t>
  </si>
  <si>
    <t>BDGammon</t>
  </si>
  <si>
    <t>DRive To Five #8</t>
  </si>
  <si>
    <t>bonobo</t>
  </si>
  <si>
    <t>Tortoise Threers #3927</t>
  </si>
  <si>
    <t>wghunter</t>
  </si>
  <si>
    <t>39.</t>
  </si>
  <si>
    <t>41.</t>
  </si>
  <si>
    <t>42.</t>
  </si>
  <si>
    <t>43.</t>
  </si>
  <si>
    <t>44.</t>
  </si>
  <si>
    <t>45.</t>
  </si>
  <si>
    <t>46.</t>
  </si>
  <si>
    <t>47.</t>
  </si>
  <si>
    <t>48.</t>
  </si>
  <si>
    <t>49.</t>
  </si>
  <si>
    <t>Weekday Warriors #4258</t>
  </si>
  <si>
    <t>AntiDentite</t>
  </si>
  <si>
    <t>50.</t>
  </si>
  <si>
    <t>Strawberry Stratifieds #1744 Group 1</t>
  </si>
  <si>
    <t>Klaus Schicks</t>
  </si>
  <si>
    <t>Strawberry Stratifieds #1757 Group 1</t>
  </si>
  <si>
    <t>CovGammon</t>
  </si>
  <si>
    <t>The Marathon #3981</t>
  </si>
  <si>
    <t>Weekday Warriors #4077</t>
  </si>
  <si>
    <t>E pluribus unum</t>
  </si>
  <si>
    <t>51.</t>
  </si>
  <si>
    <t>52.</t>
  </si>
  <si>
    <t>53.</t>
  </si>
  <si>
    <t>Tortoise Threers #3965</t>
  </si>
  <si>
    <t>geeimatree</t>
  </si>
  <si>
    <t>68.</t>
  </si>
  <si>
    <t>Captnblaubaer</t>
  </si>
  <si>
    <t>DrummieMilo</t>
  </si>
  <si>
    <t>Willie Wonka</t>
  </si>
  <si>
    <t>Z</t>
  </si>
  <si>
    <t>The following keyboard-shortcuts are usefull, to manage this group sheet:</t>
  </si>
  <si>
    <t>Ctrl + d</t>
  </si>
  <si>
    <t>In the sheet "Links" this will enter a match-link into a selected cell for player a vs. player b, that you have copied from the corresponding "review-link" of a players profile.
Please take care, to tell A vs. B by looking at the link. If the link contains ".../0/..." it's the match the player you look at has invited. If it contains ".../1/..." his opponent has invited. 
By using this macro-shortcut the links will be inserted in a stardised syntax, that will show the invitor on the left side of the match list and as well add the anchour "#end" to the link, so you don't have to scroll to see the last move.
Please pay attention, for double invitations and contact the players involved, to tell, how to deal with it.</t>
  </si>
  <si>
    <t>Ctrl + m</t>
  </si>
  <si>
    <t>This shortcut will open every unfinished match in your browser, so you may easily "see" current scores and update them manually in the sheet "Matches". This is necessary to publish current tables until the web-app hasn't imported the match links for the groups. As soon as the web-app shows them, you don't need this shortcut any more.</t>
  </si>
  <si>
    <t>Ctrl + u</t>
  </si>
  <si>
    <t>This shortcut will open every user profile, linked in the sheet "Players". This is useful, to check profiles for matches that have been invited and accepted, so you may get the match-links and enter them into the links-sheet with Ctrl+d.</t>
  </si>
  <si>
    <t>Ctrl + r</t>
  </si>
  <si>
    <t>This shortcut opens dialogs, to guide you, to import matches and tables from the web app into your group excells. You only need this, if you want to keep your group table up to date or if you need all group scores to generate the overview in xxxx_Backgammon-championships.xlsm</t>
  </si>
  <si>
    <t>% won</t>
  </si>
  <si>
    <t>Ctrl + i</t>
  </si>
  <si>
    <t>Blueser</t>
  </si>
  <si>
    <t>Rasp</t>
  </si>
  <si>
    <t>Multiple Invitation</t>
  </si>
  <si>
    <t>Active</t>
  </si>
  <si>
    <t>Decision</t>
  </si>
  <si>
    <t>Fetch time</t>
  </si>
  <si>
    <t>copied</t>
  </si>
  <si>
    <r>
      <t xml:space="preserve">This is an experimental prototype!!!
By pressing </t>
    </r>
    <r>
      <rPr>
        <b/>
        <sz val="11"/>
        <rFont val="Calibri"/>
        <family val="2"/>
        <scheme val="minor"/>
      </rPr>
      <t>Ctrl+i</t>
    </r>
    <r>
      <rPr>
        <sz val="11"/>
        <rFont val="Calibri"/>
        <family val="2"/>
        <scheme val="minor"/>
      </rPr>
      <t xml:space="preserve">, all player profiles of the group will be opened and all match-links (active, finished and resigned) of the groups will be gathered in a sheet called "tmpLinks".
Once this sheet is created, the macro can be repetively be used, to collect further match-links that haven't been started in the first time.
To tell new findings from those gathered before, you may look at the column "Fetch time".
Wrong links, double invitations still have to be checked manually as well as resigned matches have to be told from those who have finished regularly.
If all works smoothly, the links that shall count for the tournament may be copied via </t>
    </r>
    <r>
      <rPr>
        <b/>
        <sz val="11"/>
        <rFont val="Calibri"/>
        <family val="2"/>
        <scheme val="minor"/>
      </rPr>
      <t>Ctrl+c</t>
    </r>
    <r>
      <rPr>
        <sz val="11"/>
        <rFont val="Calibri"/>
        <family val="2"/>
        <scheme val="minor"/>
      </rPr>
      <t xml:space="preserve"> and entered via </t>
    </r>
    <r>
      <rPr>
        <b/>
        <sz val="11"/>
        <rFont val="Calibri"/>
        <family val="2"/>
        <scheme val="minor"/>
      </rPr>
      <t>Ctrl+v</t>
    </r>
    <r>
      <rPr>
        <sz val="11"/>
        <rFont val="Calibri"/>
        <family val="2"/>
        <scheme val="minor"/>
      </rPr>
      <t xml:space="preserve"> in the correct rows / columns in the regular "Links" Sheet. 
Thereby the manual gathering of match-links from user profiles will hopefully become obsolete in future.</t>
    </r>
  </si>
  <si>
    <t>resigned</t>
  </si>
  <si>
    <t>4</t>
  </si>
  <si>
    <t>6</t>
  </si>
  <si>
    <t>5</t>
  </si>
  <si>
    <t>50</t>
  </si>
  <si>
    <t>8</t>
  </si>
  <si>
    <t>10</t>
  </si>
  <si>
    <t>16 / 18</t>
  </si>
  <si>
    <t>7</t>
  </si>
  <si>
    <t>113</t>
  </si>
  <si>
    <t>9</t>
  </si>
  <si>
    <t>11</t>
  </si>
  <si>
    <t>17 / 18</t>
  </si>
  <si>
    <t>163</t>
  </si>
  <si>
    <t>155</t>
  </si>
  <si>
    <t>-2</t>
  </si>
  <si>
    <t>18 / 18</t>
  </si>
  <si>
    <t>14</t>
  </si>
  <si>
    <t>78</t>
  </si>
  <si>
    <t>174</t>
  </si>
  <si>
    <t>61</t>
  </si>
  <si>
    <t>138</t>
  </si>
  <si>
    <t>17</t>
  </si>
  <si>
    <t>150</t>
  </si>
  <si>
    <t>130</t>
  </si>
  <si>
    <t>132</t>
  </si>
  <si>
    <t>139</t>
  </si>
  <si>
    <t>56</t>
  </si>
  <si>
    <t>13</t>
  </si>
  <si>
    <t>171</t>
  </si>
  <si>
    <t>162</t>
  </si>
  <si>
    <t>128</t>
  </si>
  <si>
    <t>35</t>
  </si>
  <si>
    <t>127</t>
  </si>
  <si>
    <t>154</t>
  </si>
  <si>
    <t>-27</t>
  </si>
  <si>
    <t>166</t>
  </si>
  <si>
    <t>-37</t>
  </si>
  <si>
    <t>30</t>
  </si>
  <si>
    <t>143</t>
  </si>
  <si>
    <t>-29</t>
  </si>
  <si>
    <t>161</t>
  </si>
  <si>
    <t>28</t>
  </si>
  <si>
    <t>125</t>
  </si>
  <si>
    <t>76</t>
  </si>
  <si>
    <t>172</t>
  </si>
  <si>
    <t>142</t>
  </si>
  <si>
    <t>34</t>
  </si>
  <si>
    <t>145</t>
  </si>
  <si>
    <t>39</t>
  </si>
  <si>
    <t>168</t>
  </si>
  <si>
    <t>135</t>
  </si>
  <si>
    <t>-28</t>
  </si>
  <si>
    <t>14 / 18</t>
  </si>
  <si>
    <t>29</t>
  </si>
  <si>
    <t>165</t>
  </si>
  <si>
    <t>-35</t>
  </si>
  <si>
    <t>96</t>
  </si>
  <si>
    <t>136</t>
  </si>
  <si>
    <t>-40</t>
  </si>
  <si>
    <t>Last update: Sat Jul 19 2025 20:56:47 GMT+0200 (Mitteleuropäische Sommerzeit)</t>
  </si>
  <si>
    <t>5b</t>
  </si>
  <si>
    <t>andersm</t>
  </si>
  <si>
    <t>jebediasmie</t>
  </si>
  <si>
    <t>Michael the pariah</t>
  </si>
  <si>
    <t>MungoMH</t>
  </si>
  <si>
    <t>neptun</t>
  </si>
  <si>
    <t>oldehippy</t>
  </si>
  <si>
    <t>silvercilla</t>
  </si>
  <si>
    <t>T.J.</t>
  </si>
  <si>
    <t>Yolandaine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</si>
</sst>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u/>
      <sz val="11"/>
      <color theme="10"/>
      <name val="Calibri"/>
      <family val="2"/>
      <scheme val="minor"/>
    </font>
    <font>
      <sz val="11"/>
      <name val="Calibri"/>
      <family val="2"/>
      <scheme val="minor"/>
    </font>
    <font>
      <b/>
      <sz val="12"/>
      <color rgb="FFFF0000"/>
      <name val="Calibri"/>
      <family val="2"/>
      <scheme val="minor"/>
    </font>
    <font>
      <sz val="11"/>
      <color theme="1" tint="0.59999389629810485"/>
      <name val="Calibri"/>
      <family val="2"/>
      <scheme val="minor"/>
    </font>
    <font>
      <sz val="11"/>
      <name val="Calibri"/>
      <family val="2"/>
      <scheme val="minor"/>
    </font>
    <font>
      <sz val="11"/>
      <name val="Calibri"/>
      <family val="2"/>
      <scheme val="minor"/>
    </font>
    <font>
      <b/>
      <sz val="36"/>
      <name val="Calibri"/>
      <family val="2"/>
      <scheme val="minor"/>
    </font>
    <font>
      <b/>
      <sz val="11"/>
      <color theme="1"/>
      <name val="Calibri"/>
      <family val="2"/>
      <scheme val="minor"/>
    </font>
    <font>
      <b/>
      <sz val="11"/>
      <name val="Calibri"/>
      <family val="2"/>
      <scheme val="minor"/>
    </font>
    <font>
      <sz val="11"/>
      <color theme="1" tint="0.59999389629810485"/>
      <name val="Calibri"/>
      <family val="2"/>
      <scheme val="minor"/>
    </font>
    <font>
      <sz val="11"/>
      <color theme="1" tint="0.59999389629810485"/>
      <name val="Calibri"/>
      <family val="2"/>
      <scheme val="minor"/>
    </font>
    <font>
      <sz val="11"/>
      <color theme="1" tint="0.59999389629810485"/>
      <name val="Calibri"/>
      <scheme val="minor"/>
    </font>
    <font>
      <sz val="11"/>
      <name val="Calibri"/>
      <scheme val="minor"/>
    </font>
  </fonts>
  <fills count="8">
    <fill>
      <patternFill patternType="none"/>
    </fill>
    <fill>
      <patternFill patternType="gray125"/>
    </fill>
    <fill>
      <patternFill patternType="solid">
        <fgColor theme="0" tint="-0.499984740745262"/>
        <bgColor indexed="64"/>
      </patternFill>
    </fill>
    <fill>
      <patternFill patternType="solid">
        <fgColor theme="9" tint="0.79995117038483843"/>
        <bgColor indexed="64"/>
      </patternFill>
    </fill>
    <fill>
      <patternFill patternType="solid">
        <fgColor theme="5" tint="0.79995117038483843"/>
        <bgColor indexed="64"/>
      </patternFill>
    </fill>
    <fill>
      <patternFill patternType="solid">
        <fgColor theme="7" tint="0.39991454817346722"/>
        <bgColor indexed="64"/>
      </patternFill>
    </fill>
    <fill>
      <patternFill patternType="solid">
        <fgColor rgb="FFFFFF00"/>
        <bgColor indexed="64"/>
      </patternFill>
    </fill>
    <fill>
      <patternFill patternType="solid">
        <fgColor rgb="FFFFFFFF"/>
        <bgColor indexed="64"/>
      </patternFill>
    </fill>
  </fills>
  <borders count="10">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applyNumberFormat="0" applyFill="0" applyBorder="0" applyAlignment="0" applyProtection="0"/>
  </cellStyleXfs>
  <cellXfs count="106">
    <xf numFmtId="0" fontId="0" fillId="0" borderId="0" xfId="0"/>
    <xf numFmtId="0" fontId="0" fillId="0" borderId="4" xfId="0" applyBorder="1"/>
    <xf numFmtId="0" fontId="0" fillId="0" borderId="6" xfId="0" applyBorder="1"/>
    <xf numFmtId="0" fontId="3" fillId="0" borderId="0" xfId="0" applyFont="1" applyAlignment="1">
      <alignment horizontal="left"/>
    </xf>
    <xf numFmtId="0" fontId="0" fillId="0" borderId="2" xfId="0" applyBorder="1" applyAlignment="1">
      <alignment horizontal="center" textRotation="75"/>
    </xf>
    <xf numFmtId="0" fontId="0" fillId="0" borderId="3" xfId="0" applyBorder="1" applyAlignment="1">
      <alignment horizontal="center" textRotation="75"/>
    </xf>
    <xf numFmtId="10" fontId="0" fillId="0" borderId="0" xfId="0" applyNumberFormat="1"/>
    <xf numFmtId="0" fontId="0" fillId="0" borderId="0" xfId="0" applyAlignment="1">
      <alignment horizontal="center" vertical="center"/>
    </xf>
    <xf numFmtId="0" fontId="0" fillId="0" borderId="0" xfId="0" applyProtection="1">
      <protection locked="0"/>
    </xf>
    <xf numFmtId="0" fontId="0" fillId="0" borderId="0" xfId="0" applyAlignment="1" applyProtection="1">
      <alignment horizontal="center" vertical="center"/>
      <protection locked="0"/>
    </xf>
    <xf numFmtId="0" fontId="0" fillId="0" borderId="0" xfId="0" applyAlignment="1" applyProtection="1">
      <alignment horizontal="center"/>
      <protection locked="0"/>
    </xf>
    <xf numFmtId="1" fontId="0" fillId="0" borderId="0" xfId="0" applyNumberFormat="1" applyProtection="1">
      <protection locked="0"/>
    </xf>
    <xf numFmtId="10" fontId="0" fillId="0" borderId="0" xfId="0" applyNumberFormat="1" applyProtection="1">
      <protection locked="0"/>
    </xf>
    <xf numFmtId="0" fontId="0" fillId="0" borderId="0" xfId="0" applyAlignment="1" applyProtection="1">
      <alignment horizontal="right"/>
      <protection locked="0"/>
    </xf>
    <xf numFmtId="0" fontId="0" fillId="3" borderId="0" xfId="0" applyFill="1" applyProtection="1">
      <protection locked="0"/>
    </xf>
    <xf numFmtId="0" fontId="0" fillId="4" borderId="0" xfId="0" applyFill="1" applyProtection="1">
      <protection locked="0"/>
    </xf>
    <xf numFmtId="0" fontId="0" fillId="0" borderId="9" xfId="0" applyBorder="1" applyProtection="1">
      <protection locked="0"/>
    </xf>
    <xf numFmtId="1" fontId="0" fillId="0" borderId="0" xfId="0" applyNumberFormat="1" applyAlignment="1" applyProtection="1">
      <alignment horizontal="right"/>
      <protection locked="0"/>
    </xf>
    <xf numFmtId="1" fontId="0" fillId="0" borderId="0" xfId="0" applyNumberFormat="1" applyAlignment="1" applyProtection="1">
      <alignment horizontal="right" wrapText="1"/>
      <protection locked="0"/>
    </xf>
    <xf numFmtId="1" fontId="0" fillId="0" borderId="0" xfId="0" applyNumberFormat="1" applyAlignment="1">
      <alignment horizontal="right"/>
    </xf>
    <xf numFmtId="1" fontId="0" fillId="0" borderId="0" xfId="0" applyNumberFormat="1"/>
    <xf numFmtId="22" fontId="0" fillId="0" borderId="0" xfId="0" applyNumberFormat="1"/>
    <xf numFmtId="22" fontId="0" fillId="0" borderId="0" xfId="0" applyNumberFormat="1" applyProtection="1">
      <protection locked="0"/>
    </xf>
    <xf numFmtId="22" fontId="0" fillId="0" borderId="0" xfId="0" applyNumberFormat="1" applyAlignment="1" applyProtection="1">
      <alignment horizontal="center"/>
      <protection locked="0"/>
    </xf>
    <xf numFmtId="0" fontId="0" fillId="0" borderId="0" xfId="0" quotePrefix="1" applyAlignment="1">
      <alignment wrapText="1"/>
    </xf>
    <xf numFmtId="49" fontId="2" fillId="5" borderId="0" xfId="0" applyNumberFormat="1" applyFont="1" applyFill="1"/>
    <xf numFmtId="0" fontId="1" fillId="0" borderId="0" xfId="1" applyBorder="1"/>
    <xf numFmtId="0" fontId="1" fillId="0" borderId="5" xfId="1" applyBorder="1"/>
    <xf numFmtId="0" fontId="1" fillId="0" borderId="7" xfId="1" applyBorder="1"/>
    <xf numFmtId="0" fontId="1" fillId="0" borderId="0" xfId="1" applyFill="1" applyBorder="1"/>
    <xf numFmtId="0" fontId="1" fillId="0" borderId="0" xfId="1"/>
    <xf numFmtId="0" fontId="1" fillId="0" borderId="0" xfId="1" applyAlignment="1">
      <alignment horizontal="left"/>
    </xf>
    <xf numFmtId="0" fontId="7" fillId="0" borderId="1" xfId="0" applyFont="1" applyBorder="1" applyAlignment="1" applyProtection="1">
      <alignment horizontal="center" vertical="center"/>
      <protection locked="0"/>
    </xf>
    <xf numFmtId="0" fontId="2" fillId="0" borderId="4" xfId="0" applyFont="1" applyBorder="1" applyProtection="1">
      <protection locked="0"/>
    </xf>
    <xf numFmtId="0" fontId="2" fillId="0" borderId="6" xfId="0" applyFont="1" applyBorder="1" applyProtection="1">
      <protection locked="0"/>
    </xf>
    <xf numFmtId="10" fontId="0" fillId="0" borderId="4" xfId="0" applyNumberFormat="1" applyBorder="1"/>
    <xf numFmtId="0" fontId="2" fillId="0" borderId="2" xfId="0" applyFont="1" applyBorder="1" applyAlignment="1" applyProtection="1">
      <alignment horizontal="center" textRotation="75"/>
      <protection locked="0"/>
    </xf>
    <xf numFmtId="0" fontId="2" fillId="0" borderId="3" xfId="0" applyFont="1" applyBorder="1" applyAlignment="1" applyProtection="1">
      <alignment horizontal="center" textRotation="75"/>
      <protection locked="0"/>
    </xf>
    <xf numFmtId="10" fontId="2" fillId="0" borderId="0" xfId="0" applyNumberFormat="1" applyFont="1" applyProtection="1">
      <protection locked="0"/>
    </xf>
    <xf numFmtId="10" fontId="2" fillId="0" borderId="5" xfId="0" applyNumberFormat="1" applyFont="1" applyBorder="1" applyProtection="1">
      <protection locked="0"/>
    </xf>
    <xf numFmtId="10" fontId="2" fillId="0" borderId="7" xfId="0" applyNumberFormat="1" applyFont="1" applyBorder="1" applyProtection="1">
      <protection locked="0"/>
    </xf>
    <xf numFmtId="10" fontId="2" fillId="0" borderId="8" xfId="0" applyNumberFormat="1" applyFont="1" applyBorder="1" applyProtection="1">
      <protection locked="0"/>
    </xf>
    <xf numFmtId="0" fontId="0" fillId="0" borderId="0" xfId="0" applyAlignment="1" applyProtection="1">
      <alignment horizontal="center" wrapText="1"/>
      <protection locked="0"/>
    </xf>
    <xf numFmtId="0" fontId="0" fillId="2" borderId="8" xfId="0" applyFill="1" applyBorder="1" applyProtection="1">
      <protection locked="0"/>
    </xf>
    <xf numFmtId="0" fontId="0" fillId="4" borderId="0" xfId="0" applyFill="1" applyAlignment="1" applyProtection="1">
      <alignment horizontal="center" vertical="center"/>
      <protection locked="0"/>
    </xf>
    <xf numFmtId="1" fontId="0" fillId="4" borderId="0" xfId="0" applyNumberFormat="1" applyFill="1" applyAlignment="1" applyProtection="1">
      <alignment horizontal="center"/>
      <protection locked="0"/>
    </xf>
    <xf numFmtId="1" fontId="0" fillId="4" borderId="0" xfId="0" applyNumberFormat="1" applyFill="1" applyAlignment="1" applyProtection="1">
      <alignment horizontal="right"/>
      <protection locked="0"/>
    </xf>
    <xf numFmtId="1" fontId="0" fillId="4" borderId="0" xfId="0" applyNumberFormat="1" applyFill="1" applyProtection="1">
      <protection locked="0"/>
    </xf>
    <xf numFmtId="10" fontId="0" fillId="4" borderId="0" xfId="0" applyNumberFormat="1" applyFill="1" applyProtection="1">
      <protection locked="0"/>
    </xf>
    <xf numFmtId="0" fontId="0" fillId="4" borderId="0" xfId="0" applyFill="1" applyAlignment="1" applyProtection="1">
      <alignment horizontal="center"/>
      <protection locked="0"/>
    </xf>
    <xf numFmtId="22" fontId="0" fillId="4" borderId="0" xfId="0" applyNumberFormat="1" applyFill="1" applyAlignment="1" applyProtection="1">
      <alignment horizontal="center"/>
      <protection locked="0"/>
    </xf>
    <xf numFmtId="0" fontId="0" fillId="0" borderId="0" xfId="0" applyAlignment="1">
      <alignment vertical="center" wrapText="1"/>
    </xf>
    <xf numFmtId="0" fontId="8" fillId="0" borderId="0" xfId="0" applyFont="1" applyAlignment="1">
      <alignment vertical="center" wrapText="1"/>
    </xf>
    <xf numFmtId="20" fontId="0" fillId="0" borderId="0" xfId="0" applyNumberFormat="1" applyAlignment="1">
      <alignment horizontal="center" vertical="center" wrapText="1"/>
    </xf>
    <xf numFmtId="46" fontId="0" fillId="0" borderId="0" xfId="0" applyNumberFormat="1" applyAlignment="1">
      <alignment horizontal="center" vertical="center" wrapText="1"/>
    </xf>
    <xf numFmtId="0" fontId="0" fillId="0" borderId="0" xfId="0" applyAlignment="1">
      <alignment horizontal="center" vertical="center" wrapText="1"/>
    </xf>
    <xf numFmtId="0" fontId="1" fillId="0" borderId="0" xfId="1" applyAlignment="1">
      <alignment horizontal="center" vertical="center" wrapText="1"/>
    </xf>
    <xf numFmtId="0" fontId="1" fillId="0" borderId="0" xfId="1" applyAlignment="1">
      <alignment vertical="center" wrapText="1"/>
    </xf>
    <xf numFmtId="16" fontId="0" fillId="0" borderId="0" xfId="0" applyNumberFormat="1" applyAlignment="1">
      <alignment horizontal="center" vertical="center" wrapText="1"/>
    </xf>
    <xf numFmtId="0" fontId="1" fillId="0" borderId="0" xfId="1" applyAlignment="1">
      <alignment vertical="center"/>
    </xf>
    <xf numFmtId="0" fontId="0" fillId="0" borderId="0" xfId="0" applyAlignment="1">
      <alignment vertical="top"/>
    </xf>
    <xf numFmtId="0" fontId="0" fillId="0" borderId="0" xfId="0" applyAlignment="1">
      <alignment vertical="top" wrapText="1"/>
    </xf>
    <xf numFmtId="0" fontId="2" fillId="6" borderId="0" xfId="0" applyFont="1" applyFill="1" applyAlignment="1">
      <alignment vertical="top"/>
    </xf>
    <xf numFmtId="0" fontId="2" fillId="6" borderId="0" xfId="0" applyFont="1" applyFill="1" applyAlignment="1">
      <alignment vertical="top" wrapText="1"/>
    </xf>
    <xf numFmtId="0" fontId="0" fillId="6" borderId="0" xfId="0" applyFill="1"/>
    <xf numFmtId="0" fontId="0" fillId="2" borderId="0" xfId="0" applyFill="1"/>
    <xf numFmtId="0" fontId="0" fillId="2" borderId="0" xfId="0" applyFill="1" applyProtection="1">
      <protection locked="0"/>
    </xf>
    <xf numFmtId="49" fontId="2" fillId="0" borderId="0" xfId="0" applyNumberFormat="1" applyFont="1"/>
    <xf numFmtId="20" fontId="1" fillId="7" borderId="0" xfId="1" applyNumberFormat="1" applyFill="1" applyAlignment="1">
      <alignment vertical="center" wrapText="1"/>
    </xf>
    <xf numFmtId="0" fontId="0" fillId="0" borderId="5" xfId="0" applyBorder="1"/>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11" fillId="0" borderId="0" xfId="0" applyFont="1" applyProtection="1">
      <protection locked="0"/>
    </xf>
    <xf numFmtId="0" fontId="12" fillId="0" borderId="0" xfId="0" applyFont="1" applyProtection="1">
      <protection locked="0"/>
    </xf>
    <xf numFmtId="0" fontId="11" fillId="0" borderId="5" xfId="0" applyFont="1" applyBorder="1" applyProtection="1">
      <protection locked="0"/>
    </xf>
    <xf numFmtId="0" fontId="4" fillId="0" borderId="0" xfId="0" applyFont="1" applyProtection="1">
      <protection locked="0"/>
    </xf>
    <xf numFmtId="0" fontId="10" fillId="0" borderId="0" xfId="0" applyFont="1" applyProtection="1">
      <protection locked="0"/>
    </xf>
    <xf numFmtId="0" fontId="6" fillId="0" borderId="0" xfId="0" applyFont="1" applyProtection="1">
      <protection locked="0"/>
    </xf>
    <xf numFmtId="0" fontId="11" fillId="0" borderId="7" xfId="0" applyFont="1" applyBorder="1" applyProtection="1">
      <protection locked="0"/>
    </xf>
    <xf numFmtId="0" fontId="5" fillId="0" borderId="7" xfId="0" applyFont="1" applyBorder="1" applyProtection="1">
      <protection locked="0"/>
    </xf>
    <xf numFmtId="0" fontId="5" fillId="0" borderId="8" xfId="0" applyFont="1" applyBorder="1" applyProtection="1">
      <protection locked="0"/>
    </xf>
    <xf numFmtId="0" fontId="13" fillId="0" borderId="0" xfId="0" applyFont="1" applyProtection="1">
      <protection locked="0"/>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2" fillId="0" borderId="2" xfId="0" applyFont="1" applyBorder="1" applyAlignment="1" applyProtection="1">
      <alignment horizontal="center" textRotation="75"/>
      <protection locked="0"/>
    </xf>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0" fillId="0" borderId="5" xfId="0" applyBorder="1"/>
    <xf numFmtId="0" fontId="2" fillId="0" borderId="3" xfId="0" applyFont="1" applyBorder="1" applyAlignment="1" applyProtection="1">
      <alignment horizontal="center" textRotation="75"/>
      <protection locked="0"/>
    </xf>
    <xf numFmtId="0" fontId="0" fillId="0" borderId="4" xfId="0" applyBorder="1"/>
    <xf numFmtId="0" fontId="0" fillId="0" borderId="0" xfId="0"/>
    <xf numFmtId="0" fontId="0" fillId="0" borderId="0" xfId="0" applyProtection="1">
      <protection locked="0"/>
    </xf>
    <xf numFmtId="1" fontId="0" fillId="0" borderId="0" xfId="0" applyNumberFormat="1" applyAlignment="1" applyProtection="1">
      <alignment horizontal="right"/>
      <protection locked="0"/>
    </xf>
    <xf numFmtId="0" fontId="0" fillId="0" borderId="0" xfId="0" applyAlignment="1" applyProtection="1">
      <alignment horizontal="right"/>
      <protection locked="0"/>
    </xf>
    <xf numFmtId="0" fontId="0" fillId="0" borderId="0" xfId="0" applyAlignment="1" applyProtection="1">
      <alignment horizontal="left" vertical="center"/>
      <protection locked="0"/>
    </xf>
    <xf numFmtId="0" fontId="0" fillId="0" borderId="0" xfId="0" applyFill="1" applyProtection="1">
      <protection locked="0"/>
    </xf>
    <xf numFmtId="0" fontId="0" fillId="0" borderId="0" xfId="0" applyFill="1" applyAlignment="1" applyProtection="1">
      <alignment horizontal="center" vertical="center"/>
      <protection locked="0"/>
    </xf>
    <xf numFmtId="1" fontId="0" fillId="0" borderId="0" xfId="0" applyNumberFormat="1" applyFill="1" applyAlignment="1" applyProtection="1">
      <alignment horizontal="center"/>
      <protection locked="0"/>
    </xf>
    <xf numFmtId="1" fontId="0" fillId="0" borderId="0" xfId="0" applyNumberFormat="1" applyFill="1" applyAlignment="1" applyProtection="1">
      <alignment horizontal="right"/>
      <protection locked="0"/>
    </xf>
    <xf numFmtId="1" fontId="0" fillId="0" borderId="0" xfId="0" applyNumberFormat="1" applyFill="1" applyProtection="1">
      <protection locked="0"/>
    </xf>
    <xf numFmtId="10" fontId="0" fillId="0" borderId="0" xfId="0" applyNumberFormat="1" applyFill="1" applyProtection="1">
      <protection locked="0"/>
    </xf>
    <xf numFmtId="0" fontId="0" fillId="0" borderId="0" xfId="0" applyFill="1" applyAlignment="1" applyProtection="1">
      <alignment horizontal="center"/>
      <protection locked="0"/>
    </xf>
    <xf numFmtId="22" fontId="0" fillId="0" borderId="0" xfId="0" applyNumberFormat="1" applyFill="1" applyAlignment="1" applyProtection="1">
      <alignment horizontal="center"/>
      <protection locked="0"/>
    </xf>
  </cellXfs>
  <cellStyles count="2">
    <cellStyle name="Link" xfId="1" builtinId="8"/>
    <cellStyle name="Standard" xfId="0" builtinId="0"/>
  </cellStyles>
  <dxfs count="1">
    <dxf>
      <fill>
        <patternFill patternType="solid">
          <bgColor rgb="FFFF0000"/>
        </patternFill>
      </fill>
      <border>
        <left style="thin">
          <color rgb="FFFF0000"/>
        </left>
        <right style="thin">
          <color rgb="FFFF0000"/>
        </right>
        <top style="thin">
          <color rgb="FFFF0000"/>
        </top>
        <bottom style="thin">
          <color rgb="FFFF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hyperlink" Target="http://www.dailygammon.com/bg/user/39676" TargetMode="External"/><Relationship Id="rId3" Type="http://schemas.openxmlformats.org/officeDocument/2006/relationships/hyperlink" Target="http://www.dailygammon.com/bg/user/1070" TargetMode="External"/><Relationship Id="rId7" Type="http://schemas.openxmlformats.org/officeDocument/2006/relationships/hyperlink" Target="http://www.dailygammon.com/bg/user/40365" TargetMode="External"/><Relationship Id="rId2" Type="http://schemas.openxmlformats.org/officeDocument/2006/relationships/hyperlink" Target="http://www.dailygammon.com/bg/user/30497" TargetMode="External"/><Relationship Id="rId1" Type="http://schemas.openxmlformats.org/officeDocument/2006/relationships/hyperlink" Target="http://www.dailygammon.com/bg/user/27628" TargetMode="External"/><Relationship Id="rId6" Type="http://schemas.openxmlformats.org/officeDocument/2006/relationships/hyperlink" Target="http://www.dailygammon.com/bg/user/14990" TargetMode="External"/><Relationship Id="rId5" Type="http://schemas.openxmlformats.org/officeDocument/2006/relationships/hyperlink" Target="http://www.dailygammon.com/bg/user/32125" TargetMode="External"/><Relationship Id="rId10" Type="http://schemas.openxmlformats.org/officeDocument/2006/relationships/printerSettings" Target="../printerSettings/printerSettings2.bin"/><Relationship Id="rId4" Type="http://schemas.openxmlformats.org/officeDocument/2006/relationships/hyperlink" Target="http://www.dailygammon.com/bg/user/18934" TargetMode="External"/><Relationship Id="rId9" Type="http://schemas.openxmlformats.org/officeDocument/2006/relationships/hyperlink" Target="http://www.dailygammon.com/bg/user/8077"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6" Type="http://schemas.openxmlformats.org/officeDocument/2006/relationships/hyperlink" Target="http://www.dailygammon.com/bg/game/5127740/0/list" TargetMode="External"/><Relationship Id="rId21" Type="http://schemas.openxmlformats.org/officeDocument/2006/relationships/hyperlink" Target="http://www.dailygammon.com/bg/game/5127879/0/list" TargetMode="External"/><Relationship Id="rId42" Type="http://schemas.openxmlformats.org/officeDocument/2006/relationships/hyperlink" Target="http://www.dailygammon.com/bg/game/5128299/0/list" TargetMode="External"/><Relationship Id="rId47" Type="http://schemas.openxmlformats.org/officeDocument/2006/relationships/hyperlink" Target="http://www.dailygammon.com/bg/game/5128914/0/list" TargetMode="External"/><Relationship Id="rId63" Type="http://schemas.openxmlformats.org/officeDocument/2006/relationships/hyperlink" Target="http://www.dailygammon.com/bg/game/5129780/0/list" TargetMode="External"/><Relationship Id="rId68" Type="http://schemas.openxmlformats.org/officeDocument/2006/relationships/hyperlink" Target="http://www.dailygammon.com/bg/game/5129712/0/list" TargetMode="External"/><Relationship Id="rId84" Type="http://schemas.openxmlformats.org/officeDocument/2006/relationships/hyperlink" Target="http://www.dailygammon.com/bg/game/5129811/0/list" TargetMode="External"/><Relationship Id="rId89" Type="http://schemas.openxmlformats.org/officeDocument/2006/relationships/hyperlink" Target="http://www.dailygammon.com/bg/game/5129893/0/list" TargetMode="External"/><Relationship Id="rId16" Type="http://schemas.openxmlformats.org/officeDocument/2006/relationships/hyperlink" Target="http://www.dailygammon.com/bg/game/5127882/0/list" TargetMode="External"/><Relationship Id="rId11" Type="http://schemas.openxmlformats.org/officeDocument/2006/relationships/hyperlink" Target="http://www.dailygammon.com/bg/game/5127880/0/list" TargetMode="External"/><Relationship Id="rId32" Type="http://schemas.openxmlformats.org/officeDocument/2006/relationships/hyperlink" Target="http://www.dailygammon.com/bg/game/5128155/0/list" TargetMode="External"/><Relationship Id="rId37" Type="http://schemas.openxmlformats.org/officeDocument/2006/relationships/hyperlink" Target="http://www.dailygammon.com/bg/game/5128413/0/list" TargetMode="External"/><Relationship Id="rId53" Type="http://schemas.openxmlformats.org/officeDocument/2006/relationships/hyperlink" Target="http://www.dailygammon.com/bg/game/5129250/0/list" TargetMode="External"/><Relationship Id="rId58" Type="http://schemas.openxmlformats.org/officeDocument/2006/relationships/hyperlink" Target="http://www.dailygammon.com/bg/game/5129254/0/list" TargetMode="External"/><Relationship Id="rId74" Type="http://schemas.openxmlformats.org/officeDocument/2006/relationships/hyperlink" Target="http://www.dailygammon.com/bg/game/5129275/0/list" TargetMode="External"/><Relationship Id="rId79" Type="http://schemas.openxmlformats.org/officeDocument/2006/relationships/hyperlink" Target="http://www.dailygammon.com/bg/game/5129616/0/list" TargetMode="External"/><Relationship Id="rId5" Type="http://schemas.openxmlformats.org/officeDocument/2006/relationships/hyperlink" Target="http://www.dailygammon.com/bg/game/5127974/0/list" TargetMode="External"/><Relationship Id="rId90" Type="http://schemas.openxmlformats.org/officeDocument/2006/relationships/hyperlink" Target="http://www.dailygammon.com/bg/game/5129779/0/list" TargetMode="External"/><Relationship Id="rId22" Type="http://schemas.openxmlformats.org/officeDocument/2006/relationships/hyperlink" Target="http://www.dailygammon.com/bg/game/5127952/0/list" TargetMode="External"/><Relationship Id="rId27" Type="http://schemas.openxmlformats.org/officeDocument/2006/relationships/hyperlink" Target="http://www.dailygammon.com/bg/game/5127881/0/list" TargetMode="External"/><Relationship Id="rId43" Type="http://schemas.openxmlformats.org/officeDocument/2006/relationships/hyperlink" Target="http://www.dailygammon.com/bg/game/5128840/0/list" TargetMode="External"/><Relationship Id="rId48" Type="http://schemas.openxmlformats.org/officeDocument/2006/relationships/hyperlink" Target="http://www.dailygammon.com/bg/game/5128973/0/list" TargetMode="External"/><Relationship Id="rId64" Type="http://schemas.openxmlformats.org/officeDocument/2006/relationships/hyperlink" Target="http://www.dailygammon.com/bg/game/5129781/0/list" TargetMode="External"/><Relationship Id="rId69" Type="http://schemas.openxmlformats.org/officeDocument/2006/relationships/hyperlink" Target="http://www.dailygammon.com/bg/game/5129718/0/list" TargetMode="External"/><Relationship Id="rId8" Type="http://schemas.openxmlformats.org/officeDocument/2006/relationships/hyperlink" Target="http://www.dailygammon.com/bg/game/5127694/0/list" TargetMode="External"/><Relationship Id="rId51" Type="http://schemas.openxmlformats.org/officeDocument/2006/relationships/hyperlink" Target="http://www.dailygammon.com/bg/game/5129113/0/list" TargetMode="External"/><Relationship Id="rId72" Type="http://schemas.openxmlformats.org/officeDocument/2006/relationships/hyperlink" Target="http://www.dailygammon.com/bg/game/5129788/0/list" TargetMode="External"/><Relationship Id="rId80" Type="http://schemas.openxmlformats.org/officeDocument/2006/relationships/hyperlink" Target="http://www.dailygammon.com/bg/game/5129777/0/list" TargetMode="External"/><Relationship Id="rId85" Type="http://schemas.openxmlformats.org/officeDocument/2006/relationships/hyperlink" Target="http://www.dailygammon.com/bg/game/5129814/0/list" TargetMode="External"/><Relationship Id="rId93" Type="http://schemas.openxmlformats.org/officeDocument/2006/relationships/hyperlink" Target="http://www.dailygammon.com/bg/game/5129775/0/list" TargetMode="External"/><Relationship Id="rId3" Type="http://schemas.openxmlformats.org/officeDocument/2006/relationships/hyperlink" Target="http://www.dailygammon.com/bg/game/5127964/0/list" TargetMode="External"/><Relationship Id="rId12" Type="http://schemas.openxmlformats.org/officeDocument/2006/relationships/hyperlink" Target="http://www.dailygammon.com/bg/game/5127953/0/list" TargetMode="External"/><Relationship Id="rId17" Type="http://schemas.openxmlformats.org/officeDocument/2006/relationships/hyperlink" Target="http://www.dailygammon.com/bg/game/5127951/0/list" TargetMode="External"/><Relationship Id="rId25" Type="http://schemas.openxmlformats.org/officeDocument/2006/relationships/hyperlink" Target="http://www.dailygammon.com/bg/game/5127730/0/list" TargetMode="External"/><Relationship Id="rId33" Type="http://schemas.openxmlformats.org/officeDocument/2006/relationships/hyperlink" Target="http://www.dailygammon.com/bg/game/5128298/0/list" TargetMode="External"/><Relationship Id="rId38" Type="http://schemas.openxmlformats.org/officeDocument/2006/relationships/hyperlink" Target="http://www.dailygammon.com/bg/game/5128591/0/list" TargetMode="External"/><Relationship Id="rId46" Type="http://schemas.openxmlformats.org/officeDocument/2006/relationships/hyperlink" Target="http://www.dailygammon.com/bg/game/5128885/0/list" TargetMode="External"/><Relationship Id="rId59" Type="http://schemas.openxmlformats.org/officeDocument/2006/relationships/hyperlink" Target="http://www.dailygammon.com/bg/game/5129251/0/list" TargetMode="External"/><Relationship Id="rId67" Type="http://schemas.openxmlformats.org/officeDocument/2006/relationships/hyperlink" Target="http://www.dailygammon.com/bg/game/5129693/0/list" TargetMode="External"/><Relationship Id="rId20" Type="http://schemas.openxmlformats.org/officeDocument/2006/relationships/hyperlink" Target="http://www.dailygammon.com/bg/game/5127848/0/list" TargetMode="External"/><Relationship Id="rId41" Type="http://schemas.openxmlformats.org/officeDocument/2006/relationships/hyperlink" Target="http://www.dailygammon.com/bg/game/5128844/0/list" TargetMode="External"/><Relationship Id="rId54" Type="http://schemas.openxmlformats.org/officeDocument/2006/relationships/hyperlink" Target="http://www.dailygammon.com/bg/game/5129257/0/list" TargetMode="External"/><Relationship Id="rId62" Type="http://schemas.openxmlformats.org/officeDocument/2006/relationships/hyperlink" Target="http://www.dailygammon.com/bg/game/5129253/0/list" TargetMode="External"/><Relationship Id="rId70" Type="http://schemas.openxmlformats.org/officeDocument/2006/relationships/hyperlink" Target="http://www.dailygammon.com/bg/game/5129729/0/list" TargetMode="External"/><Relationship Id="rId75" Type="http://schemas.openxmlformats.org/officeDocument/2006/relationships/hyperlink" Target="http://www.dailygammon.com/bg/game/5129278/0/list" TargetMode="External"/><Relationship Id="rId83" Type="http://schemas.openxmlformats.org/officeDocument/2006/relationships/hyperlink" Target="http://www.dailygammon.com/bg/game/5129789/0/list" TargetMode="External"/><Relationship Id="rId88" Type="http://schemas.openxmlformats.org/officeDocument/2006/relationships/hyperlink" Target="http://www.dailygammon.com/bg/game/5129890/0/list" TargetMode="External"/><Relationship Id="rId91" Type="http://schemas.openxmlformats.org/officeDocument/2006/relationships/hyperlink" Target="http://www.dailygammon.com/bg/game/5129776/0/list" TargetMode="External"/><Relationship Id="rId1" Type="http://schemas.openxmlformats.org/officeDocument/2006/relationships/hyperlink" Target="http://www.dailygammon.com/bg/game/5127626/0/list" TargetMode="External"/><Relationship Id="rId6" Type="http://schemas.openxmlformats.org/officeDocument/2006/relationships/hyperlink" Target="http://www.dailygammon.com/bg/game/5127638/0/list" TargetMode="External"/><Relationship Id="rId15" Type="http://schemas.openxmlformats.org/officeDocument/2006/relationships/hyperlink" Target="http://www.dailygammon.com/bg/game/5127847/0/list" TargetMode="External"/><Relationship Id="rId23" Type="http://schemas.openxmlformats.org/officeDocument/2006/relationships/hyperlink" Target="http://www.dailygammon.com/bg/game/5127695/0/list" TargetMode="External"/><Relationship Id="rId28" Type="http://schemas.openxmlformats.org/officeDocument/2006/relationships/hyperlink" Target="http://www.dailygammon.com/bg/game/5127954/0/list" TargetMode="External"/><Relationship Id="rId36" Type="http://schemas.openxmlformats.org/officeDocument/2006/relationships/hyperlink" Target="http://www.dailygammon.com/bg/game/5128316/0/list" TargetMode="External"/><Relationship Id="rId49" Type="http://schemas.openxmlformats.org/officeDocument/2006/relationships/hyperlink" Target="http://www.dailygammon.com/bg/game/5128981/0/list" TargetMode="External"/><Relationship Id="rId57" Type="http://schemas.openxmlformats.org/officeDocument/2006/relationships/hyperlink" Target="http://www.dailygammon.com/bg/game/5129261/0/list" TargetMode="External"/><Relationship Id="rId10" Type="http://schemas.openxmlformats.org/officeDocument/2006/relationships/hyperlink" Target="http://www.dailygammon.com/bg/game/5127739/0/list" TargetMode="External"/><Relationship Id="rId31" Type="http://schemas.openxmlformats.org/officeDocument/2006/relationships/hyperlink" Target="http://www.dailygammon.com/bg/game/5128151/0/list" TargetMode="External"/><Relationship Id="rId44" Type="http://schemas.openxmlformats.org/officeDocument/2006/relationships/hyperlink" Target="http://www.dailygammon.com/bg/game/5128297/0/list" TargetMode="External"/><Relationship Id="rId52" Type="http://schemas.openxmlformats.org/officeDocument/2006/relationships/hyperlink" Target="http://www.dailygammon.com/bg/game/5129255/0/list" TargetMode="External"/><Relationship Id="rId60" Type="http://schemas.openxmlformats.org/officeDocument/2006/relationships/hyperlink" Target="http://www.dailygammon.com/bg/game/5129249/0/list" TargetMode="External"/><Relationship Id="rId65" Type="http://schemas.openxmlformats.org/officeDocument/2006/relationships/hyperlink" Target="http://www.dailygammon.com/bg/game/5129661/0/list" TargetMode="External"/><Relationship Id="rId73" Type="http://schemas.openxmlformats.org/officeDocument/2006/relationships/hyperlink" Target="http://www.dailygammon.com/bg/game/5129815/0/list" TargetMode="External"/><Relationship Id="rId78" Type="http://schemas.openxmlformats.org/officeDocument/2006/relationships/hyperlink" Target="http://www.dailygammon.com/bg/game/5129782/0/list" TargetMode="External"/><Relationship Id="rId81" Type="http://schemas.openxmlformats.org/officeDocument/2006/relationships/hyperlink" Target="http://www.dailygammon.com/bg/game/5129783/0/list" TargetMode="External"/><Relationship Id="rId86" Type="http://schemas.openxmlformats.org/officeDocument/2006/relationships/hyperlink" Target="http://www.dailygammon.com/bg/game/5129818/0/list" TargetMode="External"/><Relationship Id="rId4" Type="http://schemas.openxmlformats.org/officeDocument/2006/relationships/hyperlink" Target="http://www.dailygammon.com/bg/game/5127966/0/list" TargetMode="External"/><Relationship Id="rId9" Type="http://schemas.openxmlformats.org/officeDocument/2006/relationships/hyperlink" Target="http://www.dailygammon.com/bg/game/5127729/0/list" TargetMode="External"/><Relationship Id="rId13" Type="http://schemas.openxmlformats.org/officeDocument/2006/relationships/hyperlink" Target="http://www.dailygammon.com/bg/game/5127824/0/list" TargetMode="External"/><Relationship Id="rId18" Type="http://schemas.openxmlformats.org/officeDocument/2006/relationships/hyperlink" Target="http://www.dailygammon.com/bg/game/5127778/0/list" TargetMode="External"/><Relationship Id="rId39" Type="http://schemas.openxmlformats.org/officeDocument/2006/relationships/hyperlink" Target="http://www.dailygammon.com/bg/game/5128614/0/list" TargetMode="External"/><Relationship Id="rId34" Type="http://schemas.openxmlformats.org/officeDocument/2006/relationships/hyperlink" Target="http://www.dailygammon.com/bg/game/5128842/0/list" TargetMode="External"/><Relationship Id="rId50" Type="http://schemas.openxmlformats.org/officeDocument/2006/relationships/hyperlink" Target="http://www.dailygammon.com/bg/game/5129063/0/list" TargetMode="External"/><Relationship Id="rId55" Type="http://schemas.openxmlformats.org/officeDocument/2006/relationships/hyperlink" Target="http://www.dailygammon.com/bg/game/5129258/0/list" TargetMode="External"/><Relationship Id="rId76" Type="http://schemas.openxmlformats.org/officeDocument/2006/relationships/hyperlink" Target="http://www.dailygammon.com/bg/game/5129355/0/list" TargetMode="External"/><Relationship Id="rId7" Type="http://schemas.openxmlformats.org/officeDocument/2006/relationships/hyperlink" Target="http://www.dailygammon.com/bg/game/5127642/0/list" TargetMode="External"/><Relationship Id="rId71" Type="http://schemas.openxmlformats.org/officeDocument/2006/relationships/hyperlink" Target="http://www.dailygammon.com/bg/game/5129778/0/list" TargetMode="External"/><Relationship Id="rId92" Type="http://schemas.openxmlformats.org/officeDocument/2006/relationships/hyperlink" Target="http://www.dailygammon.com/bg/game/5129774/0/list" TargetMode="External"/><Relationship Id="rId2" Type="http://schemas.openxmlformats.org/officeDocument/2006/relationships/hyperlink" Target="http://www.dailygammon.com/bg/game/5127635/0/list" TargetMode="External"/><Relationship Id="rId29" Type="http://schemas.openxmlformats.org/officeDocument/2006/relationships/hyperlink" Target="http://www.dailygammon.com/bg/game/5127955/0/list" TargetMode="External"/><Relationship Id="rId24" Type="http://schemas.openxmlformats.org/officeDocument/2006/relationships/hyperlink" Target="http://www.dailygammon.com/bg/game/5127696/0/list" TargetMode="External"/><Relationship Id="rId40" Type="http://schemas.openxmlformats.org/officeDocument/2006/relationships/hyperlink" Target="http://www.dailygammon.com/bg/game/5128707/0/list" TargetMode="External"/><Relationship Id="rId45" Type="http://schemas.openxmlformats.org/officeDocument/2006/relationships/hyperlink" Target="http://www.dailygammon.com/bg/game/5128843/0/list" TargetMode="External"/><Relationship Id="rId66" Type="http://schemas.openxmlformats.org/officeDocument/2006/relationships/hyperlink" Target="http://www.dailygammon.com/bg/game/5129665/0/list" TargetMode="External"/><Relationship Id="rId87" Type="http://schemas.openxmlformats.org/officeDocument/2006/relationships/hyperlink" Target="http://www.dailygammon.com/bg/game/5129847/0/list" TargetMode="External"/><Relationship Id="rId61" Type="http://schemas.openxmlformats.org/officeDocument/2006/relationships/hyperlink" Target="http://www.dailygammon.com/bg/game/5129252/0/list" TargetMode="External"/><Relationship Id="rId82" Type="http://schemas.openxmlformats.org/officeDocument/2006/relationships/hyperlink" Target="http://www.dailygammon.com/bg/game/5129784/0/list" TargetMode="External"/><Relationship Id="rId19" Type="http://schemas.openxmlformats.org/officeDocument/2006/relationships/hyperlink" Target="http://www.dailygammon.com/bg/game/5127781/0/list" TargetMode="External"/><Relationship Id="rId14" Type="http://schemas.openxmlformats.org/officeDocument/2006/relationships/hyperlink" Target="http://www.dailygammon.com/bg/game/5127836/0/list" TargetMode="External"/><Relationship Id="rId30" Type="http://schemas.openxmlformats.org/officeDocument/2006/relationships/hyperlink" Target="http://www.dailygammon.com/bg/game/5128877/0/list" TargetMode="External"/><Relationship Id="rId35" Type="http://schemas.openxmlformats.org/officeDocument/2006/relationships/hyperlink" Target="http://www.dailygammon.com/bg/game/5128296/0/list" TargetMode="External"/><Relationship Id="rId56" Type="http://schemas.openxmlformats.org/officeDocument/2006/relationships/hyperlink" Target="http://www.dailygammon.com/bg/game/5129260/0/list" TargetMode="External"/><Relationship Id="rId77" Type="http://schemas.openxmlformats.org/officeDocument/2006/relationships/hyperlink" Target="http://www.dailygammon.com/bg/game/5129615/0/list"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www.dailygammon.com/bg/event/104102" TargetMode="External"/><Relationship Id="rId299" Type="http://schemas.openxmlformats.org/officeDocument/2006/relationships/hyperlink" Target="http://www.dailygammon.com/bg/game/4999302/1/list" TargetMode="External"/><Relationship Id="rId21" Type="http://schemas.openxmlformats.org/officeDocument/2006/relationships/hyperlink" Target="http://www.dailygammon.com/bg/user/31517" TargetMode="External"/><Relationship Id="rId63" Type="http://schemas.openxmlformats.org/officeDocument/2006/relationships/hyperlink" Target="http://www.dailygammon.com/bg/user/33344" TargetMode="External"/><Relationship Id="rId159" Type="http://schemas.openxmlformats.org/officeDocument/2006/relationships/hyperlink" Target="http://www.dailygammon.com/bg/game/5000102/0/list" TargetMode="External"/><Relationship Id="rId324" Type="http://schemas.openxmlformats.org/officeDocument/2006/relationships/hyperlink" Target="http://www.dailygammon.com/bg/user/8719" TargetMode="External"/><Relationship Id="rId366" Type="http://schemas.openxmlformats.org/officeDocument/2006/relationships/hyperlink" Target="http://www.dailygammon.com/bg/user/31517" TargetMode="External"/><Relationship Id="rId170" Type="http://schemas.openxmlformats.org/officeDocument/2006/relationships/hyperlink" Target="http://www.dailygammon.com/bg/game/4999122/0/list" TargetMode="External"/><Relationship Id="rId226" Type="http://schemas.openxmlformats.org/officeDocument/2006/relationships/hyperlink" Target="http://www.dailygammon.com/bg/user/31517" TargetMode="External"/><Relationship Id="rId268" Type="http://schemas.openxmlformats.org/officeDocument/2006/relationships/hyperlink" Target="http://www.dailygammon.com/bg/user/33344" TargetMode="External"/><Relationship Id="rId32" Type="http://schemas.openxmlformats.org/officeDocument/2006/relationships/hyperlink" Target="http://www.dailygammon.com/bg/game/4999725/1/list" TargetMode="External"/><Relationship Id="rId74" Type="http://schemas.openxmlformats.org/officeDocument/2006/relationships/hyperlink" Target="http://www.dailygammon.com/bg/user/38369" TargetMode="External"/><Relationship Id="rId128" Type="http://schemas.openxmlformats.org/officeDocument/2006/relationships/hyperlink" Target="http://www.dailygammon.com/bg/game/4998922/1/list" TargetMode="External"/><Relationship Id="rId335" Type="http://schemas.openxmlformats.org/officeDocument/2006/relationships/hyperlink" Target="http://www.dailygammon.com/bg/game/4999235/0/list" TargetMode="External"/><Relationship Id="rId377" Type="http://schemas.openxmlformats.org/officeDocument/2006/relationships/hyperlink" Target="http://www.dailygammon.com/bg/game/4999210/1/list" TargetMode="External"/><Relationship Id="rId5" Type="http://schemas.openxmlformats.org/officeDocument/2006/relationships/hyperlink" Target="http://www.dailygammon.com/bg/user/28783" TargetMode="External"/><Relationship Id="rId181" Type="http://schemas.openxmlformats.org/officeDocument/2006/relationships/hyperlink" Target="http://www.dailygammon.com/bg/user/12968" TargetMode="External"/><Relationship Id="rId237" Type="http://schemas.openxmlformats.org/officeDocument/2006/relationships/hyperlink" Target="http://www.dailygammon.com/bg/user/34026" TargetMode="External"/><Relationship Id="rId279" Type="http://schemas.openxmlformats.org/officeDocument/2006/relationships/hyperlink" Target="http://www.dailygammon.com/bg/game/4998766/1/list" TargetMode="External"/><Relationship Id="rId43" Type="http://schemas.openxmlformats.org/officeDocument/2006/relationships/hyperlink" Target="http://www.dailygammon.com/bg/user/31655" TargetMode="External"/><Relationship Id="rId139" Type="http://schemas.openxmlformats.org/officeDocument/2006/relationships/hyperlink" Target="http://www.dailygammon.com/bg/user/33344" TargetMode="External"/><Relationship Id="rId290" Type="http://schemas.openxmlformats.org/officeDocument/2006/relationships/hyperlink" Target="http://www.dailygammon.com/bg/user/28783" TargetMode="External"/><Relationship Id="rId304" Type="http://schemas.openxmlformats.org/officeDocument/2006/relationships/hyperlink" Target="http://www.dailygammon.com/bg/game/4999363/1/list" TargetMode="External"/><Relationship Id="rId346" Type="http://schemas.openxmlformats.org/officeDocument/2006/relationships/hyperlink" Target="http://www.dailygammon.com/bg/user/34026" TargetMode="External"/><Relationship Id="rId388" Type="http://schemas.openxmlformats.org/officeDocument/2006/relationships/hyperlink" Target="http://www.dailygammon.com/bg/user/34026" TargetMode="External"/><Relationship Id="rId85" Type="http://schemas.openxmlformats.org/officeDocument/2006/relationships/hyperlink" Target="http://www.dailygammon.com/bg/user/17732" TargetMode="External"/><Relationship Id="rId150" Type="http://schemas.openxmlformats.org/officeDocument/2006/relationships/hyperlink" Target="http://www.dailygammon.com/bg/user/33344" TargetMode="External"/><Relationship Id="rId192" Type="http://schemas.openxmlformats.org/officeDocument/2006/relationships/hyperlink" Target="http://www.dailygammon.com/bg/game/4999616/0/list" TargetMode="External"/><Relationship Id="rId206" Type="http://schemas.openxmlformats.org/officeDocument/2006/relationships/hyperlink" Target="http://www.dailygammon.com/bg/user/8719" TargetMode="External"/><Relationship Id="rId248" Type="http://schemas.openxmlformats.org/officeDocument/2006/relationships/hyperlink" Target="http://www.dailygammon.com/bg/game/4998971/0/list" TargetMode="External"/><Relationship Id="rId12" Type="http://schemas.openxmlformats.org/officeDocument/2006/relationships/hyperlink" Target="http://www.dailygammon.com/bg/game/4999243/1/list" TargetMode="External"/><Relationship Id="rId108" Type="http://schemas.openxmlformats.org/officeDocument/2006/relationships/hyperlink" Target="http://www.dailygammon.com/bg/game/4999689/0/list" TargetMode="External"/><Relationship Id="rId315" Type="http://schemas.openxmlformats.org/officeDocument/2006/relationships/hyperlink" Target="http://www.dailygammon.com/bg/user/31517" TargetMode="External"/><Relationship Id="rId357" Type="http://schemas.openxmlformats.org/officeDocument/2006/relationships/hyperlink" Target="http://www.dailygammon.com/bg/game/4998604/0/list" TargetMode="External"/><Relationship Id="rId54" Type="http://schemas.openxmlformats.org/officeDocument/2006/relationships/hyperlink" Target="http://www.dailygammon.com/bg/game/4999301/0/list" TargetMode="External"/><Relationship Id="rId96" Type="http://schemas.openxmlformats.org/officeDocument/2006/relationships/hyperlink" Target="http://www.dailygammon.com/bg/game/4999616/1/list" TargetMode="External"/><Relationship Id="rId161" Type="http://schemas.openxmlformats.org/officeDocument/2006/relationships/hyperlink" Target="http://www.dailygammon.com/bg/user/38369" TargetMode="External"/><Relationship Id="rId217" Type="http://schemas.openxmlformats.org/officeDocument/2006/relationships/hyperlink" Target="http://www.dailygammon.com/bg/game/4999466/0/list" TargetMode="External"/><Relationship Id="rId259" Type="http://schemas.openxmlformats.org/officeDocument/2006/relationships/hyperlink" Target="http://www.dailygammon.com/bg/game/4999183/1/list" TargetMode="External"/><Relationship Id="rId23" Type="http://schemas.openxmlformats.org/officeDocument/2006/relationships/hyperlink" Target="http://www.dailygammon.com/bg/user/31952" TargetMode="External"/><Relationship Id="rId119" Type="http://schemas.openxmlformats.org/officeDocument/2006/relationships/hyperlink" Target="http://www.dailygammon.com/bg/game/5000004/1/list" TargetMode="External"/><Relationship Id="rId270" Type="http://schemas.openxmlformats.org/officeDocument/2006/relationships/hyperlink" Target="http://www.dailygammon.com/bg/event/104583" TargetMode="External"/><Relationship Id="rId326" Type="http://schemas.openxmlformats.org/officeDocument/2006/relationships/hyperlink" Target="http://www.dailygammon.com/bg/user/31952" TargetMode="External"/><Relationship Id="rId65" Type="http://schemas.openxmlformats.org/officeDocument/2006/relationships/hyperlink" Target="http://www.dailygammon.com/bg/user/34026" TargetMode="External"/><Relationship Id="rId130" Type="http://schemas.openxmlformats.org/officeDocument/2006/relationships/hyperlink" Target="http://www.dailygammon.com/bg/game/4999174/1/list" TargetMode="External"/><Relationship Id="rId368" Type="http://schemas.openxmlformats.org/officeDocument/2006/relationships/hyperlink" Target="http://www.dailygammon.com/bg/user/8719" TargetMode="External"/><Relationship Id="rId172" Type="http://schemas.openxmlformats.org/officeDocument/2006/relationships/hyperlink" Target="http://www.dailygammon.com/bg/game/4999156/0/list" TargetMode="External"/><Relationship Id="rId228" Type="http://schemas.openxmlformats.org/officeDocument/2006/relationships/hyperlink" Target="http://www.dailygammon.com/bg/user/12968" TargetMode="External"/><Relationship Id="rId281" Type="http://schemas.openxmlformats.org/officeDocument/2006/relationships/hyperlink" Target="http://www.dailygammon.com/bg/game/4998857/0/list" TargetMode="External"/><Relationship Id="rId337" Type="http://schemas.openxmlformats.org/officeDocument/2006/relationships/hyperlink" Target="http://www.dailygammon.com/bg/game/4999240/0/list" TargetMode="External"/><Relationship Id="rId34" Type="http://schemas.openxmlformats.org/officeDocument/2006/relationships/hyperlink" Target="http://www.dailygammon.com/bg/game/4999726/1/list" TargetMode="External"/><Relationship Id="rId76" Type="http://schemas.openxmlformats.org/officeDocument/2006/relationships/hyperlink" Target="http://www.dailygammon.com/bg/user/21605" TargetMode="External"/><Relationship Id="rId141" Type="http://schemas.openxmlformats.org/officeDocument/2006/relationships/hyperlink" Target="http://www.dailygammon.com/bg/event/104061" TargetMode="External"/><Relationship Id="rId379" Type="http://schemas.openxmlformats.org/officeDocument/2006/relationships/hyperlink" Target="http://www.dailygammon.com/bg/game/4999211/1/list" TargetMode="External"/><Relationship Id="rId7" Type="http://schemas.openxmlformats.org/officeDocument/2006/relationships/hyperlink" Target="http://www.dailygammon.com/bg/user/21605" TargetMode="External"/><Relationship Id="rId183" Type="http://schemas.openxmlformats.org/officeDocument/2006/relationships/hyperlink" Target="http://www.dailygammon.com/bg/user/8719" TargetMode="External"/><Relationship Id="rId239" Type="http://schemas.openxmlformats.org/officeDocument/2006/relationships/hyperlink" Target="http://www.dailygammon.com/bg/user/38369" TargetMode="External"/><Relationship Id="rId390" Type="http://schemas.openxmlformats.org/officeDocument/2006/relationships/hyperlink" Target="http://www.dailygammon.com/bg/user/31952" TargetMode="External"/><Relationship Id="rId250" Type="http://schemas.openxmlformats.org/officeDocument/2006/relationships/hyperlink" Target="http://www.dailygammon.com/bg/user/17987" TargetMode="External"/><Relationship Id="rId292" Type="http://schemas.openxmlformats.org/officeDocument/2006/relationships/hyperlink" Target="http://www.dailygammon.com/bg/user/38369" TargetMode="External"/><Relationship Id="rId306" Type="http://schemas.openxmlformats.org/officeDocument/2006/relationships/hyperlink" Target="http://www.dailygammon.com/bg/game/4999438/0/list" TargetMode="External"/><Relationship Id="rId45" Type="http://schemas.openxmlformats.org/officeDocument/2006/relationships/hyperlink" Target="http://www.dailygammon.com/bg/user/28783" TargetMode="External"/><Relationship Id="rId87" Type="http://schemas.openxmlformats.org/officeDocument/2006/relationships/hyperlink" Target="http://www.dailygammon.com/bg/user/28783" TargetMode="External"/><Relationship Id="rId110" Type="http://schemas.openxmlformats.org/officeDocument/2006/relationships/hyperlink" Target="http://www.dailygammon.com/bg/game/4999714/0/list" TargetMode="External"/><Relationship Id="rId348" Type="http://schemas.openxmlformats.org/officeDocument/2006/relationships/hyperlink" Target="http://www.dailygammon.com/bg/event/104225" TargetMode="External"/><Relationship Id="rId152" Type="http://schemas.openxmlformats.org/officeDocument/2006/relationships/hyperlink" Target="http://www.dailygammon.com/bg/user/31655" TargetMode="External"/><Relationship Id="rId194" Type="http://schemas.openxmlformats.org/officeDocument/2006/relationships/hyperlink" Target="http://www.dailygammon.com/bg/game/4999682/1/list" TargetMode="External"/><Relationship Id="rId208" Type="http://schemas.openxmlformats.org/officeDocument/2006/relationships/hyperlink" Target="http://www.dailygammon.com/bg/user/31655" TargetMode="External"/><Relationship Id="rId261" Type="http://schemas.openxmlformats.org/officeDocument/2006/relationships/hyperlink" Target="http://www.dailygammon.com/bg/game/4999241/0/list" TargetMode="External"/><Relationship Id="rId14" Type="http://schemas.openxmlformats.org/officeDocument/2006/relationships/hyperlink" Target="http://www.dailygammon.com/bg/game/4999244/0/list" TargetMode="External"/><Relationship Id="rId56" Type="http://schemas.openxmlformats.org/officeDocument/2006/relationships/hyperlink" Target="http://www.dailygammon.com/bg/game/4999314/0/list" TargetMode="External"/><Relationship Id="rId317" Type="http://schemas.openxmlformats.org/officeDocument/2006/relationships/hyperlink" Target="http://www.dailygammon.com/bg/game/4999119/1/list" TargetMode="External"/><Relationship Id="rId359" Type="http://schemas.openxmlformats.org/officeDocument/2006/relationships/hyperlink" Target="http://www.dailygammon.com/bg/game/4998609/0/list" TargetMode="External"/><Relationship Id="rId98" Type="http://schemas.openxmlformats.org/officeDocument/2006/relationships/hyperlink" Target="http://www.dailygammon.com/bg/game/4999617/1/list" TargetMode="External"/><Relationship Id="rId121" Type="http://schemas.openxmlformats.org/officeDocument/2006/relationships/hyperlink" Target="http://www.dailygammon.com/bg/game/5000049/1/list" TargetMode="External"/><Relationship Id="rId163" Type="http://schemas.openxmlformats.org/officeDocument/2006/relationships/hyperlink" Target="http://www.dailygammon.com/bg/user/21605" TargetMode="External"/><Relationship Id="rId219" Type="http://schemas.openxmlformats.org/officeDocument/2006/relationships/hyperlink" Target="http://www.dailygammon.com/bg/game/4999556/0/list" TargetMode="External"/><Relationship Id="rId370" Type="http://schemas.openxmlformats.org/officeDocument/2006/relationships/hyperlink" Target="http://www.dailygammon.com/bg/user/31655" TargetMode="External"/><Relationship Id="rId230" Type="http://schemas.openxmlformats.org/officeDocument/2006/relationships/hyperlink" Target="http://www.dailygammon.com/bg/user/34026" TargetMode="External"/><Relationship Id="rId25" Type="http://schemas.openxmlformats.org/officeDocument/2006/relationships/hyperlink" Target="http://www.dailygammon.com/bg/user/33344" TargetMode="External"/><Relationship Id="rId67" Type="http://schemas.openxmlformats.org/officeDocument/2006/relationships/hyperlink" Target="http://www.dailygammon.com/bg/user/12968" TargetMode="External"/><Relationship Id="rId272" Type="http://schemas.openxmlformats.org/officeDocument/2006/relationships/hyperlink" Target="http://www.dailygammon.com/bg/game/4999491/0/list" TargetMode="External"/><Relationship Id="rId328" Type="http://schemas.openxmlformats.org/officeDocument/2006/relationships/hyperlink" Target="http://www.dailygammon.com/bg/user/31517" TargetMode="External"/><Relationship Id="rId132" Type="http://schemas.openxmlformats.org/officeDocument/2006/relationships/hyperlink" Target="http://www.dailygammon.com/bg/game/4999175/1/list" TargetMode="External"/><Relationship Id="rId174" Type="http://schemas.openxmlformats.org/officeDocument/2006/relationships/hyperlink" Target="http://www.dailygammon.com/bg/game/4999175/0/list" TargetMode="External"/><Relationship Id="rId381" Type="http://schemas.openxmlformats.org/officeDocument/2006/relationships/hyperlink" Target="http://www.dailygammon.com/bg/game/4999248/1/list" TargetMode="External"/><Relationship Id="rId241" Type="http://schemas.openxmlformats.org/officeDocument/2006/relationships/hyperlink" Target="http://www.dailygammon.com/bg/user/31952" TargetMode="External"/><Relationship Id="rId36" Type="http://schemas.openxmlformats.org/officeDocument/2006/relationships/hyperlink" Target="http://www.dailygammon.com/bg/game/5000029/1/list" TargetMode="External"/><Relationship Id="rId283" Type="http://schemas.openxmlformats.org/officeDocument/2006/relationships/hyperlink" Target="http://www.dailygammon.com/bg/game/4998922/0/list" TargetMode="External"/><Relationship Id="rId339" Type="http://schemas.openxmlformats.org/officeDocument/2006/relationships/hyperlink" Target="http://www.dailygammon.com/bg/game/4999247/1/list" TargetMode="External"/><Relationship Id="rId78" Type="http://schemas.openxmlformats.org/officeDocument/2006/relationships/hyperlink" Target="http://www.dailygammon.com/bg/event/104612" TargetMode="External"/><Relationship Id="rId101" Type="http://schemas.openxmlformats.org/officeDocument/2006/relationships/hyperlink" Target="http://www.dailygammon.com/bg/user/38369" TargetMode="External"/><Relationship Id="rId143" Type="http://schemas.openxmlformats.org/officeDocument/2006/relationships/hyperlink" Target="http://www.dailygammon.com/bg/game/4999887/0/list" TargetMode="External"/><Relationship Id="rId185" Type="http://schemas.openxmlformats.org/officeDocument/2006/relationships/hyperlink" Target="http://www.dailygammon.com/bg/user/31517" TargetMode="External"/><Relationship Id="rId350" Type="http://schemas.openxmlformats.org/officeDocument/2006/relationships/hyperlink" Target="http://www.dailygammon.com/bg/game/4999627/0/list" TargetMode="External"/><Relationship Id="rId9" Type="http://schemas.openxmlformats.org/officeDocument/2006/relationships/hyperlink" Target="http://www.dailygammon.com/bg/user/31517" TargetMode="External"/><Relationship Id="rId210" Type="http://schemas.openxmlformats.org/officeDocument/2006/relationships/hyperlink" Target="http://www.dailygammon.com/bg/user/12968" TargetMode="External"/><Relationship Id="rId392" Type="http://schemas.openxmlformats.org/officeDocument/2006/relationships/hyperlink" Target="http://www.dailygammon.com/bg/user/38369" TargetMode="External"/><Relationship Id="rId252" Type="http://schemas.openxmlformats.org/officeDocument/2006/relationships/hyperlink" Target="http://www.dailygammon.com/bg/user/28783" TargetMode="External"/><Relationship Id="rId294" Type="http://schemas.openxmlformats.org/officeDocument/2006/relationships/hyperlink" Target="http://www.dailygammon.com/bg/user/12968" TargetMode="External"/><Relationship Id="rId308" Type="http://schemas.openxmlformats.org/officeDocument/2006/relationships/hyperlink" Target="http://www.dailygammon.com/bg/game/4999615/0/list" TargetMode="External"/><Relationship Id="rId47" Type="http://schemas.openxmlformats.org/officeDocument/2006/relationships/hyperlink" Target="http://www.dailygammon.com/bg/user/12968" TargetMode="External"/><Relationship Id="rId89" Type="http://schemas.openxmlformats.org/officeDocument/2006/relationships/hyperlink" Target="http://www.dailygammon.com/bg/user/12968" TargetMode="External"/><Relationship Id="rId112" Type="http://schemas.openxmlformats.org/officeDocument/2006/relationships/hyperlink" Target="http://www.dailygammon.com/bg/game/4999724/0/list" TargetMode="External"/><Relationship Id="rId154" Type="http://schemas.openxmlformats.org/officeDocument/2006/relationships/hyperlink" Target="http://www.dailygammon.com/bg/user/12968" TargetMode="External"/><Relationship Id="rId361" Type="http://schemas.openxmlformats.org/officeDocument/2006/relationships/hyperlink" Target="http://www.dailygammon.com/bg/game/4998618/0/list" TargetMode="External"/><Relationship Id="rId196" Type="http://schemas.openxmlformats.org/officeDocument/2006/relationships/hyperlink" Target="http://www.dailygammon.com/bg/game/5000015/1/list" TargetMode="External"/><Relationship Id="rId200" Type="http://schemas.openxmlformats.org/officeDocument/2006/relationships/hyperlink" Target="http://www.dailygammon.com/bg/user/21605" TargetMode="External"/><Relationship Id="rId382" Type="http://schemas.openxmlformats.org/officeDocument/2006/relationships/hyperlink" Target="http://www.dailygammon.com/bg/user/8719" TargetMode="External"/><Relationship Id="rId16" Type="http://schemas.openxmlformats.org/officeDocument/2006/relationships/hyperlink" Target="http://www.dailygammon.com/bg/game/4999247/0/list" TargetMode="External"/><Relationship Id="rId221" Type="http://schemas.openxmlformats.org/officeDocument/2006/relationships/hyperlink" Target="http://www.dailygammon.com/bg/game/4999560/0/list" TargetMode="External"/><Relationship Id="rId242" Type="http://schemas.openxmlformats.org/officeDocument/2006/relationships/hyperlink" Target="http://www.dailygammon.com/bg/game/4998695/0/list" TargetMode="External"/><Relationship Id="rId263" Type="http://schemas.openxmlformats.org/officeDocument/2006/relationships/hyperlink" Target="http://www.dailygammon.com/bg/game/4999244/1/list" TargetMode="External"/><Relationship Id="rId284" Type="http://schemas.openxmlformats.org/officeDocument/2006/relationships/hyperlink" Target="http://www.dailygammon.com/bg/user/31655" TargetMode="External"/><Relationship Id="rId319" Type="http://schemas.openxmlformats.org/officeDocument/2006/relationships/hyperlink" Target="http://www.dailygammon.com/bg/game/4999120/1/list" TargetMode="External"/><Relationship Id="rId37" Type="http://schemas.openxmlformats.org/officeDocument/2006/relationships/hyperlink" Target="http://www.dailygammon.com/bg/user/31517" TargetMode="External"/><Relationship Id="rId58" Type="http://schemas.openxmlformats.org/officeDocument/2006/relationships/hyperlink" Target="http://www.dailygammon.com/bg/game/4999317/0/list" TargetMode="External"/><Relationship Id="rId79" Type="http://schemas.openxmlformats.org/officeDocument/2006/relationships/hyperlink" Target="http://www.dailygammon.com/bg/user/34182" TargetMode="External"/><Relationship Id="rId102" Type="http://schemas.openxmlformats.org/officeDocument/2006/relationships/hyperlink" Target="http://www.dailygammon.com/bg/game/4999660/0/list" TargetMode="External"/><Relationship Id="rId123" Type="http://schemas.openxmlformats.org/officeDocument/2006/relationships/hyperlink" Target="http://www.dailygammon.com/bg/user/38369" TargetMode="External"/><Relationship Id="rId144" Type="http://schemas.openxmlformats.org/officeDocument/2006/relationships/hyperlink" Target="http://www.dailygammon.com/bg/user/31517" TargetMode="External"/><Relationship Id="rId330" Type="http://schemas.openxmlformats.org/officeDocument/2006/relationships/hyperlink" Target="http://www.dailygammon.com/bg/user/21605" TargetMode="External"/><Relationship Id="rId90" Type="http://schemas.openxmlformats.org/officeDocument/2006/relationships/hyperlink" Target="http://www.dailygammon.com/bg/game/4999613/1/list" TargetMode="External"/><Relationship Id="rId165" Type="http://schemas.openxmlformats.org/officeDocument/2006/relationships/hyperlink" Target="http://www.dailygammon.com/bg/user/31517" TargetMode="External"/><Relationship Id="rId186" Type="http://schemas.openxmlformats.org/officeDocument/2006/relationships/hyperlink" Target="http://www.dailygammon.com/bg/game/4999302/0/list" TargetMode="External"/><Relationship Id="rId351" Type="http://schemas.openxmlformats.org/officeDocument/2006/relationships/hyperlink" Target="http://www.dailygammon.com/bg/user/34026" TargetMode="External"/><Relationship Id="rId372" Type="http://schemas.openxmlformats.org/officeDocument/2006/relationships/hyperlink" Target="http://www.dailygammon.com/bg/user/28783" TargetMode="External"/><Relationship Id="rId211" Type="http://schemas.openxmlformats.org/officeDocument/2006/relationships/hyperlink" Target="http://www.dailygammon.com/bg/game/4999448/1/list" TargetMode="External"/><Relationship Id="rId232" Type="http://schemas.openxmlformats.org/officeDocument/2006/relationships/hyperlink" Target="http://www.dailygammon.com/bg/user/31952" TargetMode="External"/><Relationship Id="rId253" Type="http://schemas.openxmlformats.org/officeDocument/2006/relationships/hyperlink" Target="http://www.dailygammon.com/bg/game/4999120/0/list" TargetMode="External"/><Relationship Id="rId274" Type="http://schemas.openxmlformats.org/officeDocument/2006/relationships/hyperlink" Target="http://www.dailygammon.com/bg/game/4999646/1/list" TargetMode="External"/><Relationship Id="rId295" Type="http://schemas.openxmlformats.org/officeDocument/2006/relationships/hyperlink" Target="http://www.dailygammon.com/bg/game/4999242/0/list" TargetMode="External"/><Relationship Id="rId309" Type="http://schemas.openxmlformats.org/officeDocument/2006/relationships/hyperlink" Target="http://www.dailygammon.com/bg/user/34026" TargetMode="External"/><Relationship Id="rId27" Type="http://schemas.openxmlformats.org/officeDocument/2006/relationships/hyperlink" Target="http://www.dailygammon.com/bg/user/34026" TargetMode="External"/><Relationship Id="rId48" Type="http://schemas.openxmlformats.org/officeDocument/2006/relationships/hyperlink" Target="http://www.dailygammon.com/bg/game/4999255/1/list" TargetMode="External"/><Relationship Id="rId69" Type="http://schemas.openxmlformats.org/officeDocument/2006/relationships/hyperlink" Target="http://www.dailygammon.com/bg/user/34026" TargetMode="External"/><Relationship Id="rId113" Type="http://schemas.openxmlformats.org/officeDocument/2006/relationships/hyperlink" Target="http://www.dailygammon.com/bg/user/8719" TargetMode="External"/><Relationship Id="rId134" Type="http://schemas.openxmlformats.org/officeDocument/2006/relationships/hyperlink" Target="http://www.dailygammon.com/bg/game/4999316/1/list" TargetMode="External"/><Relationship Id="rId320" Type="http://schemas.openxmlformats.org/officeDocument/2006/relationships/hyperlink" Target="http://www.dailygammon.com/bg/user/31517" TargetMode="External"/><Relationship Id="rId80" Type="http://schemas.openxmlformats.org/officeDocument/2006/relationships/hyperlink" Target="http://www.dailygammon.com/bg/game/4998826/0/list" TargetMode="External"/><Relationship Id="rId155" Type="http://schemas.openxmlformats.org/officeDocument/2006/relationships/hyperlink" Target="http://www.dailygammon.com/bg/game/5000029/0/list" TargetMode="External"/><Relationship Id="rId176" Type="http://schemas.openxmlformats.org/officeDocument/2006/relationships/hyperlink" Target="http://www.dailygammon.com/bg/game/4999210/0/list" TargetMode="External"/><Relationship Id="rId197" Type="http://schemas.openxmlformats.org/officeDocument/2006/relationships/hyperlink" Target="http://www.dailygammon.com/bg/user/31655" TargetMode="External"/><Relationship Id="rId341" Type="http://schemas.openxmlformats.org/officeDocument/2006/relationships/hyperlink" Target="http://www.dailygammon.com/bg/game/4999284/1/list" TargetMode="External"/><Relationship Id="rId362" Type="http://schemas.openxmlformats.org/officeDocument/2006/relationships/hyperlink" Target="http://www.dailygammon.com/bg/user/21605" TargetMode="External"/><Relationship Id="rId383" Type="http://schemas.openxmlformats.org/officeDocument/2006/relationships/hyperlink" Target="http://www.dailygammon.com/bg/game/4999393/1/list" TargetMode="External"/><Relationship Id="rId201" Type="http://schemas.openxmlformats.org/officeDocument/2006/relationships/hyperlink" Target="http://www.dailygammon.com/bg/game/4999437/1/list" TargetMode="External"/><Relationship Id="rId222" Type="http://schemas.openxmlformats.org/officeDocument/2006/relationships/hyperlink" Target="http://www.dailygammon.com/bg/user/34026" TargetMode="External"/><Relationship Id="rId243" Type="http://schemas.openxmlformats.org/officeDocument/2006/relationships/hyperlink" Target="http://www.dailygammon.com/bg/user/31517" TargetMode="External"/><Relationship Id="rId264" Type="http://schemas.openxmlformats.org/officeDocument/2006/relationships/hyperlink" Target="http://www.dailygammon.com/bg/user/8719" TargetMode="External"/><Relationship Id="rId285" Type="http://schemas.openxmlformats.org/officeDocument/2006/relationships/hyperlink" Target="http://www.dailygammon.com/bg/game/4998972/0/list" TargetMode="External"/><Relationship Id="rId17" Type="http://schemas.openxmlformats.org/officeDocument/2006/relationships/hyperlink" Target="http://www.dailygammon.com/bg/user/38369" TargetMode="External"/><Relationship Id="rId38" Type="http://schemas.openxmlformats.org/officeDocument/2006/relationships/hyperlink" Target="http://www.dailygammon.com/bg/game/4998857/1/list" TargetMode="External"/><Relationship Id="rId59" Type="http://schemas.openxmlformats.org/officeDocument/2006/relationships/hyperlink" Target="http://www.dailygammon.com/bg/user/38369" TargetMode="External"/><Relationship Id="rId103" Type="http://schemas.openxmlformats.org/officeDocument/2006/relationships/hyperlink" Target="http://www.dailygammon.com/bg/user/31952" TargetMode="External"/><Relationship Id="rId124" Type="http://schemas.openxmlformats.org/officeDocument/2006/relationships/hyperlink" Target="http://www.dailygammon.com/bg/game/4998694/1/list" TargetMode="External"/><Relationship Id="rId310" Type="http://schemas.openxmlformats.org/officeDocument/2006/relationships/hyperlink" Target="http://www.dailygammon.com/bg/game/4999714/1/list" TargetMode="External"/><Relationship Id="rId70" Type="http://schemas.openxmlformats.org/officeDocument/2006/relationships/hyperlink" Target="http://www.dailygammon.com/bg/game/4999736/1/list" TargetMode="External"/><Relationship Id="rId91" Type="http://schemas.openxmlformats.org/officeDocument/2006/relationships/hyperlink" Target="http://www.dailygammon.com/bg/user/8719" TargetMode="External"/><Relationship Id="rId145" Type="http://schemas.openxmlformats.org/officeDocument/2006/relationships/hyperlink" Target="http://www.dailygammon.com/bg/game/4999996/0/list" TargetMode="External"/><Relationship Id="rId166" Type="http://schemas.openxmlformats.org/officeDocument/2006/relationships/hyperlink" Target="http://www.dailygammon.com/bg/game/4998972/1/list" TargetMode="External"/><Relationship Id="rId187" Type="http://schemas.openxmlformats.org/officeDocument/2006/relationships/hyperlink" Target="http://www.dailygammon.com/bg/user/33344" TargetMode="External"/><Relationship Id="rId331" Type="http://schemas.openxmlformats.org/officeDocument/2006/relationships/hyperlink" Target="http://www.dailygammon.com/bg/game/4999183/0/list" TargetMode="External"/><Relationship Id="rId352" Type="http://schemas.openxmlformats.org/officeDocument/2006/relationships/hyperlink" Target="http://www.dailygammon.com/bg/game/4999689/1/list" TargetMode="External"/><Relationship Id="rId373" Type="http://schemas.openxmlformats.org/officeDocument/2006/relationships/hyperlink" Target="http://www.dailygammon.com/bg/game/4999119/0/list" TargetMode="External"/><Relationship Id="rId1" Type="http://schemas.openxmlformats.org/officeDocument/2006/relationships/hyperlink" Target="http://www.dailygammon.com/bg/user/38369" TargetMode="External"/><Relationship Id="rId212" Type="http://schemas.openxmlformats.org/officeDocument/2006/relationships/hyperlink" Target="http://www.dailygammon.com/bg/user/21605" TargetMode="External"/><Relationship Id="rId233" Type="http://schemas.openxmlformats.org/officeDocument/2006/relationships/hyperlink" Target="http://www.dailygammon.com/bg/game/5000002/1/list" TargetMode="External"/><Relationship Id="rId254" Type="http://schemas.openxmlformats.org/officeDocument/2006/relationships/hyperlink" Target="http://www.dailygammon.com/bg/user/31517" TargetMode="External"/><Relationship Id="rId28" Type="http://schemas.openxmlformats.org/officeDocument/2006/relationships/hyperlink" Target="http://www.dailygammon.com/bg/game/4999613/0/list" TargetMode="External"/><Relationship Id="rId49" Type="http://schemas.openxmlformats.org/officeDocument/2006/relationships/hyperlink" Target="http://www.dailygammon.com/bg/user/28783" TargetMode="External"/><Relationship Id="rId114" Type="http://schemas.openxmlformats.org/officeDocument/2006/relationships/hyperlink" Target="http://www.dailygammon.com/bg/game/4999736/0/list" TargetMode="External"/><Relationship Id="rId275" Type="http://schemas.openxmlformats.org/officeDocument/2006/relationships/hyperlink" Target="http://www.dailygammon.com/bg/user/21605" TargetMode="External"/><Relationship Id="rId296" Type="http://schemas.openxmlformats.org/officeDocument/2006/relationships/hyperlink" Target="http://www.dailygammon.com/bg/user/8719" TargetMode="External"/><Relationship Id="rId300" Type="http://schemas.openxmlformats.org/officeDocument/2006/relationships/hyperlink" Target="http://www.dailygammon.com/bg/user/12968" TargetMode="External"/><Relationship Id="rId60" Type="http://schemas.openxmlformats.org/officeDocument/2006/relationships/hyperlink" Target="http://www.dailygammon.com/bg/game/4999393/0/list" TargetMode="External"/><Relationship Id="rId81" Type="http://schemas.openxmlformats.org/officeDocument/2006/relationships/hyperlink" Target="http://www.dailygammon.com/bg/event/104602" TargetMode="External"/><Relationship Id="rId135" Type="http://schemas.openxmlformats.org/officeDocument/2006/relationships/hyperlink" Target="http://www.dailygammon.com/bg/user/8719" TargetMode="External"/><Relationship Id="rId156" Type="http://schemas.openxmlformats.org/officeDocument/2006/relationships/hyperlink" Target="http://www.dailygammon.com/bg/user/34026" TargetMode="External"/><Relationship Id="rId177" Type="http://schemas.openxmlformats.org/officeDocument/2006/relationships/hyperlink" Target="http://www.dailygammon.com/bg/user/28783" TargetMode="External"/><Relationship Id="rId198" Type="http://schemas.openxmlformats.org/officeDocument/2006/relationships/hyperlink" Target="http://www.dailygammon.com/bg/user/38369" TargetMode="External"/><Relationship Id="rId321" Type="http://schemas.openxmlformats.org/officeDocument/2006/relationships/hyperlink" Target="http://www.dailygammon.com/bg/game/4999121/1/list" TargetMode="External"/><Relationship Id="rId342" Type="http://schemas.openxmlformats.org/officeDocument/2006/relationships/hyperlink" Target="http://www.dailygammon.com/bg/user/33344" TargetMode="External"/><Relationship Id="rId363" Type="http://schemas.openxmlformats.org/officeDocument/2006/relationships/hyperlink" Target="http://www.dailygammon.com/bg/game/4998624/1/list" TargetMode="External"/><Relationship Id="rId384" Type="http://schemas.openxmlformats.org/officeDocument/2006/relationships/hyperlink" Target="http://www.dailygammon.com/bg/user/33344" TargetMode="External"/><Relationship Id="rId202" Type="http://schemas.openxmlformats.org/officeDocument/2006/relationships/hyperlink" Target="http://www.dailygammon.com/bg/user/31517" TargetMode="External"/><Relationship Id="rId223" Type="http://schemas.openxmlformats.org/officeDocument/2006/relationships/hyperlink" Target="http://www.dailygammon.com/bg/game/4999617/0/list" TargetMode="External"/><Relationship Id="rId244" Type="http://schemas.openxmlformats.org/officeDocument/2006/relationships/hyperlink" Target="http://www.dailygammon.com/bg/game/4998766/0/list" TargetMode="External"/><Relationship Id="rId18" Type="http://schemas.openxmlformats.org/officeDocument/2006/relationships/hyperlink" Target="http://www.dailygammon.com/bg/game/4999248/0/list" TargetMode="External"/><Relationship Id="rId39" Type="http://schemas.openxmlformats.org/officeDocument/2006/relationships/hyperlink" Target="http://www.dailygammon.com/bg/user/38369" TargetMode="External"/><Relationship Id="rId265" Type="http://schemas.openxmlformats.org/officeDocument/2006/relationships/hyperlink" Target="http://www.dailygammon.com/bg/game/4999314/1/list" TargetMode="External"/><Relationship Id="rId286" Type="http://schemas.openxmlformats.org/officeDocument/2006/relationships/hyperlink" Target="http://www.dailygammon.com/bg/user/28783" TargetMode="External"/><Relationship Id="rId50" Type="http://schemas.openxmlformats.org/officeDocument/2006/relationships/hyperlink" Target="http://www.dailygammon.com/bg/game/4999284/0/list" TargetMode="External"/><Relationship Id="rId104" Type="http://schemas.openxmlformats.org/officeDocument/2006/relationships/hyperlink" Target="http://www.dailygammon.com/bg/game/4999661/0/list" TargetMode="External"/><Relationship Id="rId125" Type="http://schemas.openxmlformats.org/officeDocument/2006/relationships/hyperlink" Target="http://www.dailygammon.com/bg/user/21605" TargetMode="External"/><Relationship Id="rId146" Type="http://schemas.openxmlformats.org/officeDocument/2006/relationships/hyperlink" Target="http://www.dailygammon.com/bg/user/8719" TargetMode="External"/><Relationship Id="rId167" Type="http://schemas.openxmlformats.org/officeDocument/2006/relationships/hyperlink" Target="http://www.dailygammon.com/bg/user/8719" TargetMode="External"/><Relationship Id="rId188" Type="http://schemas.openxmlformats.org/officeDocument/2006/relationships/hyperlink" Target="http://www.dailygammon.com/bg/game/4999447/0/list" TargetMode="External"/><Relationship Id="rId311" Type="http://schemas.openxmlformats.org/officeDocument/2006/relationships/hyperlink" Target="http://www.dailygammon.com/bg/user/33344" TargetMode="External"/><Relationship Id="rId332" Type="http://schemas.openxmlformats.org/officeDocument/2006/relationships/hyperlink" Target="http://www.dailygammon.com/bg/user/38369" TargetMode="External"/><Relationship Id="rId353" Type="http://schemas.openxmlformats.org/officeDocument/2006/relationships/hyperlink" Target="http://www.dailygammon.com/bg/user/31952" TargetMode="External"/><Relationship Id="rId374" Type="http://schemas.openxmlformats.org/officeDocument/2006/relationships/hyperlink" Target="http://www.dailygammon.com/bg/user/31517" TargetMode="External"/><Relationship Id="rId71" Type="http://schemas.openxmlformats.org/officeDocument/2006/relationships/hyperlink" Target="http://www.dailygammon.com/bg/user/31952" TargetMode="External"/><Relationship Id="rId92" Type="http://schemas.openxmlformats.org/officeDocument/2006/relationships/hyperlink" Target="http://www.dailygammon.com/bg/game/4999614/1/list" TargetMode="External"/><Relationship Id="rId213" Type="http://schemas.openxmlformats.org/officeDocument/2006/relationships/hyperlink" Target="http://www.dailygammon.com/bg/game/4999453/0/list" TargetMode="External"/><Relationship Id="rId234" Type="http://schemas.openxmlformats.org/officeDocument/2006/relationships/hyperlink" Target="http://www.dailygammon.com/bg/user/33344" TargetMode="External"/><Relationship Id="rId2" Type="http://schemas.openxmlformats.org/officeDocument/2006/relationships/hyperlink" Target="http://www.dailygammon.com/bg/game/4998604/1/list" TargetMode="External"/><Relationship Id="rId29" Type="http://schemas.openxmlformats.org/officeDocument/2006/relationships/hyperlink" Target="http://www.dailygammon.com/bg/user/34026" TargetMode="External"/><Relationship Id="rId255" Type="http://schemas.openxmlformats.org/officeDocument/2006/relationships/hyperlink" Target="http://www.dailygammon.com/bg/game/4999155/1/list" TargetMode="External"/><Relationship Id="rId276" Type="http://schemas.openxmlformats.org/officeDocument/2006/relationships/hyperlink" Target="http://www.dailygammon.com/bg/user/38369" TargetMode="External"/><Relationship Id="rId297" Type="http://schemas.openxmlformats.org/officeDocument/2006/relationships/hyperlink" Target="http://www.dailygammon.com/bg/game/4999301/1/list" TargetMode="External"/><Relationship Id="rId40" Type="http://schemas.openxmlformats.org/officeDocument/2006/relationships/hyperlink" Target="http://www.dailygammon.com/bg/game/4998858/1/list" TargetMode="External"/><Relationship Id="rId115" Type="http://schemas.openxmlformats.org/officeDocument/2006/relationships/hyperlink" Target="http://www.dailygammon.com/bg/user/33344" TargetMode="External"/><Relationship Id="rId136" Type="http://schemas.openxmlformats.org/officeDocument/2006/relationships/hyperlink" Target="http://www.dailygammon.com/bg/game/4999317/1/list" TargetMode="External"/><Relationship Id="rId157" Type="http://schemas.openxmlformats.org/officeDocument/2006/relationships/hyperlink" Target="http://www.dailygammon.com/bg/game/5000049/0/list" TargetMode="External"/><Relationship Id="rId178" Type="http://schemas.openxmlformats.org/officeDocument/2006/relationships/hyperlink" Target="http://www.dailygammon.com/bg/game/4999235/1/list" TargetMode="External"/><Relationship Id="rId301" Type="http://schemas.openxmlformats.org/officeDocument/2006/relationships/hyperlink" Target="http://www.dailygammon.com/bg/game/4999303/1/list" TargetMode="External"/><Relationship Id="rId322" Type="http://schemas.openxmlformats.org/officeDocument/2006/relationships/hyperlink" Target="http://www.dailygammon.com/bg/user/31655" TargetMode="External"/><Relationship Id="rId343" Type="http://schemas.openxmlformats.org/officeDocument/2006/relationships/hyperlink" Target="http://www.dailygammon.com/bg/game/4999445/0/list" TargetMode="External"/><Relationship Id="rId364" Type="http://schemas.openxmlformats.org/officeDocument/2006/relationships/hyperlink" Target="http://www.dailygammon.com/bg/user/31952" TargetMode="External"/><Relationship Id="rId61" Type="http://schemas.openxmlformats.org/officeDocument/2006/relationships/hyperlink" Target="http://www.dailygammon.com/bg/user/33344" TargetMode="External"/><Relationship Id="rId82" Type="http://schemas.openxmlformats.org/officeDocument/2006/relationships/hyperlink" Target="http://www.dailygammon.com/bg/user/23098" TargetMode="External"/><Relationship Id="rId199" Type="http://schemas.openxmlformats.org/officeDocument/2006/relationships/hyperlink" Target="http://www.dailygammon.com/bg/game/4999436/1/list" TargetMode="External"/><Relationship Id="rId203" Type="http://schemas.openxmlformats.org/officeDocument/2006/relationships/hyperlink" Target="http://www.dailygammon.com/bg/game/4999438/1/list" TargetMode="External"/><Relationship Id="rId385" Type="http://schemas.openxmlformats.org/officeDocument/2006/relationships/hyperlink" Target="http://www.dailygammon.com/bg/game/4999436/0/list" TargetMode="External"/><Relationship Id="rId19" Type="http://schemas.openxmlformats.org/officeDocument/2006/relationships/hyperlink" Target="http://www.dailygammon.com/bg/user/8719" TargetMode="External"/><Relationship Id="rId224" Type="http://schemas.openxmlformats.org/officeDocument/2006/relationships/hyperlink" Target="http://www.dailygammon.com/bg/user/31952" TargetMode="External"/><Relationship Id="rId245" Type="http://schemas.openxmlformats.org/officeDocument/2006/relationships/hyperlink" Target="http://www.dailygammon.com/bg/user/8719" TargetMode="External"/><Relationship Id="rId266" Type="http://schemas.openxmlformats.org/officeDocument/2006/relationships/hyperlink" Target="http://www.dailygammon.com/bg/user/33344" TargetMode="External"/><Relationship Id="rId287" Type="http://schemas.openxmlformats.org/officeDocument/2006/relationships/hyperlink" Target="http://www.dailygammon.com/bg/game/4999121/0/list" TargetMode="External"/><Relationship Id="rId30" Type="http://schemas.openxmlformats.org/officeDocument/2006/relationships/hyperlink" Target="http://www.dailygammon.com/bg/game/4999724/1/list" TargetMode="External"/><Relationship Id="rId105" Type="http://schemas.openxmlformats.org/officeDocument/2006/relationships/hyperlink" Target="http://www.dailygammon.com/bg/user/31655" TargetMode="External"/><Relationship Id="rId126" Type="http://schemas.openxmlformats.org/officeDocument/2006/relationships/hyperlink" Target="http://www.dailygammon.com/bg/game/4998695/1/list" TargetMode="External"/><Relationship Id="rId147" Type="http://schemas.openxmlformats.org/officeDocument/2006/relationships/hyperlink" Target="http://www.dailygammon.com/bg/game/4999997/0/list" TargetMode="External"/><Relationship Id="rId168" Type="http://schemas.openxmlformats.org/officeDocument/2006/relationships/hyperlink" Target="http://www.dailygammon.com/bg/game/4999073/0/list" TargetMode="External"/><Relationship Id="rId312" Type="http://schemas.openxmlformats.org/officeDocument/2006/relationships/hyperlink" Target="http://www.dailygammon.com/bg/game/4999715/1/list" TargetMode="External"/><Relationship Id="rId333" Type="http://schemas.openxmlformats.org/officeDocument/2006/relationships/hyperlink" Target="http://www.dailygammon.com/bg/game/4999211/0/list" TargetMode="External"/><Relationship Id="rId354" Type="http://schemas.openxmlformats.org/officeDocument/2006/relationships/hyperlink" Target="http://www.dailygammon.com/bg/game/5000102/1/list" TargetMode="External"/><Relationship Id="rId51" Type="http://schemas.openxmlformats.org/officeDocument/2006/relationships/hyperlink" Target="http://www.dailygammon.com/bg/user/31655" TargetMode="External"/><Relationship Id="rId72" Type="http://schemas.openxmlformats.org/officeDocument/2006/relationships/hyperlink" Target="http://www.dailygammon.com/bg/game/4999997/1/list" TargetMode="External"/><Relationship Id="rId93" Type="http://schemas.openxmlformats.org/officeDocument/2006/relationships/hyperlink" Target="http://www.dailygammon.com/bg/user/31517" TargetMode="External"/><Relationship Id="rId189" Type="http://schemas.openxmlformats.org/officeDocument/2006/relationships/hyperlink" Target="http://www.dailygammon.com/bg/user/33344" TargetMode="External"/><Relationship Id="rId375" Type="http://schemas.openxmlformats.org/officeDocument/2006/relationships/hyperlink" Target="http://www.dailygammon.com/bg/game/4999209/1/list" TargetMode="External"/><Relationship Id="rId3" Type="http://schemas.openxmlformats.org/officeDocument/2006/relationships/hyperlink" Target="http://www.dailygammon.com/bg/user/31655" TargetMode="External"/><Relationship Id="rId214" Type="http://schemas.openxmlformats.org/officeDocument/2006/relationships/hyperlink" Target="http://www.dailygammon.com/bg/user/8719" TargetMode="External"/><Relationship Id="rId235" Type="http://schemas.openxmlformats.org/officeDocument/2006/relationships/hyperlink" Target="http://www.dailygammon.com/bg/user/38369" TargetMode="External"/><Relationship Id="rId256" Type="http://schemas.openxmlformats.org/officeDocument/2006/relationships/hyperlink" Target="http://www.dailygammon.com/bg/user/31655" TargetMode="External"/><Relationship Id="rId277" Type="http://schemas.openxmlformats.org/officeDocument/2006/relationships/hyperlink" Target="http://www.dailygammon.com/bg/game/4998765/1/list" TargetMode="External"/><Relationship Id="rId298" Type="http://schemas.openxmlformats.org/officeDocument/2006/relationships/hyperlink" Target="http://www.dailygammon.com/bg/user/31655" TargetMode="External"/><Relationship Id="rId116" Type="http://schemas.openxmlformats.org/officeDocument/2006/relationships/hyperlink" Target="http://www.dailygammon.com/bg/game/4999895/0/list" TargetMode="External"/><Relationship Id="rId137" Type="http://schemas.openxmlformats.org/officeDocument/2006/relationships/hyperlink" Target="http://www.dailygammon.com/bg/user/34026" TargetMode="External"/><Relationship Id="rId158" Type="http://schemas.openxmlformats.org/officeDocument/2006/relationships/hyperlink" Target="http://www.dailygammon.com/bg/user/28783" TargetMode="External"/><Relationship Id="rId302" Type="http://schemas.openxmlformats.org/officeDocument/2006/relationships/hyperlink" Target="http://www.dailygammon.com/bg/event/99363" TargetMode="External"/><Relationship Id="rId323" Type="http://schemas.openxmlformats.org/officeDocument/2006/relationships/hyperlink" Target="http://www.dailygammon.com/bg/game/4999122/1/list" TargetMode="External"/><Relationship Id="rId344" Type="http://schemas.openxmlformats.org/officeDocument/2006/relationships/hyperlink" Target="http://www.dailygammon.com/bg/user/33344" TargetMode="External"/><Relationship Id="rId20" Type="http://schemas.openxmlformats.org/officeDocument/2006/relationships/hyperlink" Target="http://www.dailygammon.com/bg/game/4999255/0/list" TargetMode="External"/><Relationship Id="rId41" Type="http://schemas.openxmlformats.org/officeDocument/2006/relationships/hyperlink" Target="http://www.dailygammon.com/bg/user/21605" TargetMode="External"/><Relationship Id="rId62" Type="http://schemas.openxmlformats.org/officeDocument/2006/relationships/hyperlink" Target="http://www.dailygammon.com/bg/game/4999446/0/list" TargetMode="External"/><Relationship Id="rId83" Type="http://schemas.openxmlformats.org/officeDocument/2006/relationships/hyperlink" Target="http://www.dailygammon.com/bg/game/4998908/0/list" TargetMode="External"/><Relationship Id="rId179" Type="http://schemas.openxmlformats.org/officeDocument/2006/relationships/hyperlink" Target="http://www.dailygammon.com/bg/user/12968" TargetMode="External"/><Relationship Id="rId365" Type="http://schemas.openxmlformats.org/officeDocument/2006/relationships/hyperlink" Target="http://www.dailygammon.com/bg/game/4998694/0/list" TargetMode="External"/><Relationship Id="rId386" Type="http://schemas.openxmlformats.org/officeDocument/2006/relationships/hyperlink" Target="http://www.dailygammon.com/bg/user/33344" TargetMode="External"/><Relationship Id="rId190" Type="http://schemas.openxmlformats.org/officeDocument/2006/relationships/hyperlink" Target="http://www.dailygammon.com/bg/game/4999556/1/list" TargetMode="External"/><Relationship Id="rId204" Type="http://schemas.openxmlformats.org/officeDocument/2006/relationships/hyperlink" Target="http://www.dailygammon.com/bg/user/28783" TargetMode="External"/><Relationship Id="rId225" Type="http://schemas.openxmlformats.org/officeDocument/2006/relationships/hyperlink" Target="http://www.dailygammon.com/bg/game/4999662/0/list" TargetMode="External"/><Relationship Id="rId246" Type="http://schemas.openxmlformats.org/officeDocument/2006/relationships/hyperlink" Target="http://www.dailygammon.com/bg/game/4998859/0/list" TargetMode="External"/><Relationship Id="rId267" Type="http://schemas.openxmlformats.org/officeDocument/2006/relationships/hyperlink" Target="http://www.dailygammon.com/bg/game/4999437/0/list" TargetMode="External"/><Relationship Id="rId288" Type="http://schemas.openxmlformats.org/officeDocument/2006/relationships/hyperlink" Target="http://www.dailygammon.com/bg/user/21605" TargetMode="External"/><Relationship Id="rId106" Type="http://schemas.openxmlformats.org/officeDocument/2006/relationships/hyperlink" Target="http://www.dailygammon.com/bg/game/4999682/0/list" TargetMode="External"/><Relationship Id="rId127" Type="http://schemas.openxmlformats.org/officeDocument/2006/relationships/hyperlink" Target="http://www.dailygammon.com/bg/user/31517" TargetMode="External"/><Relationship Id="rId313" Type="http://schemas.openxmlformats.org/officeDocument/2006/relationships/hyperlink" Target="http://www.dailygammon.com/bg/user/31952" TargetMode="External"/><Relationship Id="rId10" Type="http://schemas.openxmlformats.org/officeDocument/2006/relationships/hyperlink" Target="http://www.dailygammon.com/bg/game/4999242/1/list" TargetMode="External"/><Relationship Id="rId31" Type="http://schemas.openxmlformats.org/officeDocument/2006/relationships/hyperlink" Target="http://www.dailygammon.com/bg/user/8719" TargetMode="External"/><Relationship Id="rId52" Type="http://schemas.openxmlformats.org/officeDocument/2006/relationships/hyperlink" Target="http://www.dailygammon.com/bg/game/4999297/0/list" TargetMode="External"/><Relationship Id="rId73" Type="http://schemas.openxmlformats.org/officeDocument/2006/relationships/hyperlink" Target="http://www.dailygammon.com/bg/user/8719" TargetMode="External"/><Relationship Id="rId94" Type="http://schemas.openxmlformats.org/officeDocument/2006/relationships/hyperlink" Target="http://www.dailygammon.com/bg/game/4999615/1/list" TargetMode="External"/><Relationship Id="rId148" Type="http://schemas.openxmlformats.org/officeDocument/2006/relationships/hyperlink" Target="http://www.dailygammon.com/bg/user/38369" TargetMode="External"/><Relationship Id="rId169" Type="http://schemas.openxmlformats.org/officeDocument/2006/relationships/hyperlink" Target="http://www.dailygammon.com/bg/user/28783" TargetMode="External"/><Relationship Id="rId334" Type="http://schemas.openxmlformats.org/officeDocument/2006/relationships/hyperlink" Target="http://www.dailygammon.com/bg/user/31655" TargetMode="External"/><Relationship Id="rId355" Type="http://schemas.openxmlformats.org/officeDocument/2006/relationships/hyperlink" Target="http://www.dailygammon.com/bg/user/28783" TargetMode="External"/><Relationship Id="rId376" Type="http://schemas.openxmlformats.org/officeDocument/2006/relationships/hyperlink" Target="http://www.dailygammon.com/bg/user/31655" TargetMode="External"/><Relationship Id="rId4" Type="http://schemas.openxmlformats.org/officeDocument/2006/relationships/hyperlink" Target="http://www.dailygammon.com/bg/game/4999236/0/list" TargetMode="External"/><Relationship Id="rId180" Type="http://schemas.openxmlformats.org/officeDocument/2006/relationships/hyperlink" Target="http://www.dailygammon.com/bg/game/4999236/1/list" TargetMode="External"/><Relationship Id="rId215" Type="http://schemas.openxmlformats.org/officeDocument/2006/relationships/hyperlink" Target="http://www.dailygammon.com/bg/game/4999455/0/list" TargetMode="External"/><Relationship Id="rId236" Type="http://schemas.openxmlformats.org/officeDocument/2006/relationships/hyperlink" Target="http://www.dailygammon.com/bg/game/4998609/1/list" TargetMode="External"/><Relationship Id="rId257" Type="http://schemas.openxmlformats.org/officeDocument/2006/relationships/hyperlink" Target="http://www.dailygammon.com/bg/game/4999156/1/list" TargetMode="External"/><Relationship Id="rId278" Type="http://schemas.openxmlformats.org/officeDocument/2006/relationships/hyperlink" Target="http://www.dailygammon.com/bg/user/21605" TargetMode="External"/><Relationship Id="rId303" Type="http://schemas.openxmlformats.org/officeDocument/2006/relationships/hyperlink" Target="http://www.dailygammon.com/bg/user/31013" TargetMode="External"/><Relationship Id="rId42" Type="http://schemas.openxmlformats.org/officeDocument/2006/relationships/hyperlink" Target="http://www.dailygammon.com/bg/game/4998859/1/list" TargetMode="External"/><Relationship Id="rId84" Type="http://schemas.openxmlformats.org/officeDocument/2006/relationships/hyperlink" Target="http://www.dailygammon.com/bg/event/103149" TargetMode="External"/><Relationship Id="rId138" Type="http://schemas.openxmlformats.org/officeDocument/2006/relationships/hyperlink" Target="http://www.dailygammon.com/bg/game/4999661/1/list" TargetMode="External"/><Relationship Id="rId345" Type="http://schemas.openxmlformats.org/officeDocument/2006/relationships/hyperlink" Target="http://www.dailygammon.com/bg/game/4999466/1/list" TargetMode="External"/><Relationship Id="rId387" Type="http://schemas.openxmlformats.org/officeDocument/2006/relationships/hyperlink" Target="http://www.dailygammon.com/bg/game/4999560/1/list" TargetMode="External"/><Relationship Id="rId191" Type="http://schemas.openxmlformats.org/officeDocument/2006/relationships/hyperlink" Target="http://www.dailygammon.com/bg/user/34026" TargetMode="External"/><Relationship Id="rId205" Type="http://schemas.openxmlformats.org/officeDocument/2006/relationships/hyperlink" Target="http://www.dailygammon.com/bg/game/4999445/1/list" TargetMode="External"/><Relationship Id="rId247" Type="http://schemas.openxmlformats.org/officeDocument/2006/relationships/hyperlink" Target="http://www.dailygammon.com/bg/user/31655" TargetMode="External"/><Relationship Id="rId107" Type="http://schemas.openxmlformats.org/officeDocument/2006/relationships/hyperlink" Target="http://www.dailygammon.com/bg/user/28783" TargetMode="External"/><Relationship Id="rId289" Type="http://schemas.openxmlformats.org/officeDocument/2006/relationships/hyperlink" Target="http://www.dailygammon.com/bg/game/4999155/0/list" TargetMode="External"/><Relationship Id="rId11" Type="http://schemas.openxmlformats.org/officeDocument/2006/relationships/hyperlink" Target="http://www.dailygammon.com/bg/user/31655" TargetMode="External"/><Relationship Id="rId53" Type="http://schemas.openxmlformats.org/officeDocument/2006/relationships/hyperlink" Target="http://www.dailygammon.com/bg/user/31517" TargetMode="External"/><Relationship Id="rId149" Type="http://schemas.openxmlformats.org/officeDocument/2006/relationships/hyperlink" Target="http://www.dailygammon.com/bg/game/5000001/0/list" TargetMode="External"/><Relationship Id="rId314" Type="http://schemas.openxmlformats.org/officeDocument/2006/relationships/hyperlink" Target="http://www.dailygammon.com/bg/game/4999996/1/list" TargetMode="External"/><Relationship Id="rId356" Type="http://schemas.openxmlformats.org/officeDocument/2006/relationships/hyperlink" Target="http://www.dailygammon.com/bg/user/12968" TargetMode="External"/><Relationship Id="rId95" Type="http://schemas.openxmlformats.org/officeDocument/2006/relationships/hyperlink" Target="http://www.dailygammon.com/bg/user/31655" TargetMode="External"/><Relationship Id="rId160" Type="http://schemas.openxmlformats.org/officeDocument/2006/relationships/hyperlink" Target="http://www.dailygammon.com/bg/user/31952" TargetMode="External"/><Relationship Id="rId216" Type="http://schemas.openxmlformats.org/officeDocument/2006/relationships/hyperlink" Target="http://www.dailygammon.com/bg/user/28783" TargetMode="External"/><Relationship Id="rId258" Type="http://schemas.openxmlformats.org/officeDocument/2006/relationships/hyperlink" Target="http://www.dailygammon.com/bg/user/28783" TargetMode="External"/><Relationship Id="rId22" Type="http://schemas.openxmlformats.org/officeDocument/2006/relationships/hyperlink" Target="http://www.dailygammon.com/bg/game/4999303/0/list" TargetMode="External"/><Relationship Id="rId64" Type="http://schemas.openxmlformats.org/officeDocument/2006/relationships/hyperlink" Target="http://www.dailygammon.com/bg/game/4999455/1/list" TargetMode="External"/><Relationship Id="rId118" Type="http://schemas.openxmlformats.org/officeDocument/2006/relationships/hyperlink" Target="http://www.dailygammon.com/bg/user/40170" TargetMode="External"/><Relationship Id="rId325" Type="http://schemas.openxmlformats.org/officeDocument/2006/relationships/hyperlink" Target="http://www.dailygammon.com/bg/game/4999172/0/list" TargetMode="External"/><Relationship Id="rId367" Type="http://schemas.openxmlformats.org/officeDocument/2006/relationships/hyperlink" Target="http://www.dailygammon.com/bg/game/4998765/0/list" TargetMode="External"/><Relationship Id="rId171" Type="http://schemas.openxmlformats.org/officeDocument/2006/relationships/hyperlink" Target="http://www.dailygammon.com/bg/user/21605" TargetMode="External"/><Relationship Id="rId227" Type="http://schemas.openxmlformats.org/officeDocument/2006/relationships/hyperlink" Target="http://www.dailygammon.com/bg/game/4999715/0/list" TargetMode="External"/><Relationship Id="rId269" Type="http://schemas.openxmlformats.org/officeDocument/2006/relationships/hyperlink" Target="http://www.dailygammon.com/bg/game/4999453/1/list" TargetMode="External"/><Relationship Id="rId33" Type="http://schemas.openxmlformats.org/officeDocument/2006/relationships/hyperlink" Target="http://www.dailygammon.com/bg/user/33344" TargetMode="External"/><Relationship Id="rId129" Type="http://schemas.openxmlformats.org/officeDocument/2006/relationships/hyperlink" Target="http://www.dailygammon.com/bg/user/28783" TargetMode="External"/><Relationship Id="rId280" Type="http://schemas.openxmlformats.org/officeDocument/2006/relationships/hyperlink" Target="http://www.dailygammon.com/bg/user/8719" TargetMode="External"/><Relationship Id="rId336" Type="http://schemas.openxmlformats.org/officeDocument/2006/relationships/hyperlink" Target="http://www.dailygammon.com/bg/user/12968" TargetMode="External"/><Relationship Id="rId75" Type="http://schemas.openxmlformats.org/officeDocument/2006/relationships/hyperlink" Target="http://www.dailygammon.com/bg/game/4998618/1/list" TargetMode="External"/><Relationship Id="rId140" Type="http://schemas.openxmlformats.org/officeDocument/2006/relationships/hyperlink" Target="http://www.dailygammon.com/bg/game/4999662/1/list" TargetMode="External"/><Relationship Id="rId182" Type="http://schemas.openxmlformats.org/officeDocument/2006/relationships/hyperlink" Target="http://www.dailygammon.com/bg/game/4999243/0/list" TargetMode="External"/><Relationship Id="rId378" Type="http://schemas.openxmlformats.org/officeDocument/2006/relationships/hyperlink" Target="http://www.dailygammon.com/bg/user/28783" TargetMode="External"/><Relationship Id="rId6" Type="http://schemas.openxmlformats.org/officeDocument/2006/relationships/hyperlink" Target="http://www.dailygammon.com/bg/game/4999240/1/list" TargetMode="External"/><Relationship Id="rId238" Type="http://schemas.openxmlformats.org/officeDocument/2006/relationships/hyperlink" Target="http://www.dailygammon.com/bg/game/4998619/0/list" TargetMode="External"/><Relationship Id="rId291" Type="http://schemas.openxmlformats.org/officeDocument/2006/relationships/hyperlink" Target="http://www.dailygammon.com/bg/game/4999177/1/list" TargetMode="External"/><Relationship Id="rId305" Type="http://schemas.openxmlformats.org/officeDocument/2006/relationships/hyperlink" Target="http://www.dailygammon.com/bg/user/33344" TargetMode="External"/><Relationship Id="rId347" Type="http://schemas.openxmlformats.org/officeDocument/2006/relationships/hyperlink" Target="http://www.dailygammon.com/bg/game/4999612/0/list" TargetMode="External"/><Relationship Id="rId44" Type="http://schemas.openxmlformats.org/officeDocument/2006/relationships/hyperlink" Target="http://www.dailygammon.com/bg/game/4999073/1/list" TargetMode="External"/><Relationship Id="rId86" Type="http://schemas.openxmlformats.org/officeDocument/2006/relationships/hyperlink" Target="http://www.dailygammon.com/bg/game/4999602/1/list" TargetMode="External"/><Relationship Id="rId151" Type="http://schemas.openxmlformats.org/officeDocument/2006/relationships/hyperlink" Target="http://www.dailygammon.com/bg/game/5000002/0/list" TargetMode="External"/><Relationship Id="rId389" Type="http://schemas.openxmlformats.org/officeDocument/2006/relationships/hyperlink" Target="http://www.dailygammon.com/bg/game/4999660/1/list" TargetMode="External"/><Relationship Id="rId193" Type="http://schemas.openxmlformats.org/officeDocument/2006/relationships/hyperlink" Target="http://www.dailygammon.com/bg/user/34026" TargetMode="External"/><Relationship Id="rId207" Type="http://schemas.openxmlformats.org/officeDocument/2006/relationships/hyperlink" Target="http://www.dailygammon.com/bg/game/4999446/1/list" TargetMode="External"/><Relationship Id="rId249" Type="http://schemas.openxmlformats.org/officeDocument/2006/relationships/hyperlink" Target="http://www.dailygammon.com/bg/event/104618" TargetMode="External"/><Relationship Id="rId13" Type="http://schemas.openxmlformats.org/officeDocument/2006/relationships/hyperlink" Target="http://www.dailygammon.com/bg/user/21605" TargetMode="External"/><Relationship Id="rId109" Type="http://schemas.openxmlformats.org/officeDocument/2006/relationships/hyperlink" Target="http://www.dailygammon.com/bg/user/31517" TargetMode="External"/><Relationship Id="rId260" Type="http://schemas.openxmlformats.org/officeDocument/2006/relationships/hyperlink" Target="http://www.dailygammon.com/bg/user/12968" TargetMode="External"/><Relationship Id="rId316" Type="http://schemas.openxmlformats.org/officeDocument/2006/relationships/hyperlink" Target="http://www.dailygammon.com/bg/user/38369" TargetMode="External"/><Relationship Id="rId55" Type="http://schemas.openxmlformats.org/officeDocument/2006/relationships/hyperlink" Target="http://www.dailygammon.com/bg/user/21605" TargetMode="External"/><Relationship Id="rId97" Type="http://schemas.openxmlformats.org/officeDocument/2006/relationships/hyperlink" Target="http://www.dailygammon.com/bg/user/33344" TargetMode="External"/><Relationship Id="rId120" Type="http://schemas.openxmlformats.org/officeDocument/2006/relationships/hyperlink" Target="http://www.dailygammon.com/bg/user/31952" TargetMode="External"/><Relationship Id="rId358" Type="http://schemas.openxmlformats.org/officeDocument/2006/relationships/hyperlink" Target="http://www.dailygammon.com/bg/user/21605" TargetMode="External"/><Relationship Id="rId162" Type="http://schemas.openxmlformats.org/officeDocument/2006/relationships/hyperlink" Target="http://www.dailygammon.com/bg/game/4998970/1/list" TargetMode="External"/><Relationship Id="rId218" Type="http://schemas.openxmlformats.org/officeDocument/2006/relationships/hyperlink" Target="http://www.dailygammon.com/bg/user/31655" TargetMode="External"/><Relationship Id="rId271" Type="http://schemas.openxmlformats.org/officeDocument/2006/relationships/hyperlink" Target="http://www.dailygammon.com/bg/user/17987" TargetMode="External"/><Relationship Id="rId24" Type="http://schemas.openxmlformats.org/officeDocument/2006/relationships/hyperlink" Target="http://www.dailygammon.com/bg/game/4999316/0/list" TargetMode="External"/><Relationship Id="rId66" Type="http://schemas.openxmlformats.org/officeDocument/2006/relationships/hyperlink" Target="http://www.dailygammon.com/bg/game/4999614/0/list" TargetMode="External"/><Relationship Id="rId131" Type="http://schemas.openxmlformats.org/officeDocument/2006/relationships/hyperlink" Target="http://www.dailygammon.com/bg/user/31655" TargetMode="External"/><Relationship Id="rId327" Type="http://schemas.openxmlformats.org/officeDocument/2006/relationships/hyperlink" Target="http://www.dailygammon.com/bg/game/4999174/0/list" TargetMode="External"/><Relationship Id="rId369" Type="http://schemas.openxmlformats.org/officeDocument/2006/relationships/hyperlink" Target="http://www.dailygammon.com/bg/game/4998858/0/list" TargetMode="External"/><Relationship Id="rId173" Type="http://schemas.openxmlformats.org/officeDocument/2006/relationships/hyperlink" Target="http://www.dailygammon.com/bg/user/31952" TargetMode="External"/><Relationship Id="rId229" Type="http://schemas.openxmlformats.org/officeDocument/2006/relationships/hyperlink" Target="http://www.dailygammon.com/bg/game/4999726/0/list" TargetMode="External"/><Relationship Id="rId380" Type="http://schemas.openxmlformats.org/officeDocument/2006/relationships/hyperlink" Target="http://www.dailygammon.com/bg/user/12968" TargetMode="External"/><Relationship Id="rId240" Type="http://schemas.openxmlformats.org/officeDocument/2006/relationships/hyperlink" Target="http://www.dailygammon.com/bg/game/4998624/0/list" TargetMode="External"/><Relationship Id="rId35" Type="http://schemas.openxmlformats.org/officeDocument/2006/relationships/hyperlink" Target="http://www.dailygammon.com/bg/user/31952" TargetMode="External"/><Relationship Id="rId77" Type="http://schemas.openxmlformats.org/officeDocument/2006/relationships/hyperlink" Target="http://www.dailygammon.com/bg/game/4998619/1/list" TargetMode="External"/><Relationship Id="rId100" Type="http://schemas.openxmlformats.org/officeDocument/2006/relationships/hyperlink" Target="http://www.dailygammon.com/bg/game/4999646/0/list" TargetMode="External"/><Relationship Id="rId282" Type="http://schemas.openxmlformats.org/officeDocument/2006/relationships/hyperlink" Target="http://www.dailygammon.com/bg/user/31952" TargetMode="External"/><Relationship Id="rId338" Type="http://schemas.openxmlformats.org/officeDocument/2006/relationships/hyperlink" Target="http://www.dailygammon.com/bg/user/12968" TargetMode="External"/><Relationship Id="rId8" Type="http://schemas.openxmlformats.org/officeDocument/2006/relationships/hyperlink" Target="http://www.dailygammon.com/bg/game/4999241/1/list" TargetMode="External"/><Relationship Id="rId142" Type="http://schemas.openxmlformats.org/officeDocument/2006/relationships/hyperlink" Target="http://www.dailygammon.com/bg/user/31065" TargetMode="External"/><Relationship Id="rId184" Type="http://schemas.openxmlformats.org/officeDocument/2006/relationships/hyperlink" Target="http://www.dailygammon.com/bg/game/4999297/1/list" TargetMode="External"/><Relationship Id="rId391" Type="http://schemas.openxmlformats.org/officeDocument/2006/relationships/hyperlink" Target="http://www.dailygammon.com/bg/game/5000001/1/list" TargetMode="External"/><Relationship Id="rId251" Type="http://schemas.openxmlformats.org/officeDocument/2006/relationships/hyperlink" Target="http://www.dailygammon.com/bg/game/4999083/1/list" TargetMode="External"/><Relationship Id="rId46" Type="http://schemas.openxmlformats.org/officeDocument/2006/relationships/hyperlink" Target="http://www.dailygammon.com/bg/game/4999172/1/list" TargetMode="External"/><Relationship Id="rId293" Type="http://schemas.openxmlformats.org/officeDocument/2006/relationships/hyperlink" Target="http://www.dailygammon.com/bg/game/4999209/0/list" TargetMode="External"/><Relationship Id="rId307" Type="http://schemas.openxmlformats.org/officeDocument/2006/relationships/hyperlink" Target="http://www.dailygammon.com/bg/user/34026" TargetMode="External"/><Relationship Id="rId349" Type="http://schemas.openxmlformats.org/officeDocument/2006/relationships/hyperlink" Target="http://www.dailygammon.com/bg/user/30835" TargetMode="External"/><Relationship Id="rId88" Type="http://schemas.openxmlformats.org/officeDocument/2006/relationships/hyperlink" Target="http://www.dailygammon.com/bg/game/4999612/1/list" TargetMode="External"/><Relationship Id="rId111" Type="http://schemas.openxmlformats.org/officeDocument/2006/relationships/hyperlink" Target="http://www.dailygammon.com/bg/user/12968" TargetMode="External"/><Relationship Id="rId153" Type="http://schemas.openxmlformats.org/officeDocument/2006/relationships/hyperlink" Target="http://www.dailygammon.com/bg/game/5000015/0/list" TargetMode="External"/><Relationship Id="rId195" Type="http://schemas.openxmlformats.org/officeDocument/2006/relationships/hyperlink" Target="http://www.dailygammon.com/bg/user/31952" TargetMode="External"/><Relationship Id="rId209" Type="http://schemas.openxmlformats.org/officeDocument/2006/relationships/hyperlink" Target="http://www.dailygammon.com/bg/game/4999447/1/list" TargetMode="External"/><Relationship Id="rId360" Type="http://schemas.openxmlformats.org/officeDocument/2006/relationships/hyperlink" Target="http://www.dailygammon.com/bg/user/34026" TargetMode="External"/><Relationship Id="rId220" Type="http://schemas.openxmlformats.org/officeDocument/2006/relationships/hyperlink" Target="http://www.dailygammon.com/bg/user/38369" TargetMode="External"/><Relationship Id="rId15" Type="http://schemas.openxmlformats.org/officeDocument/2006/relationships/hyperlink" Target="http://www.dailygammon.com/bg/user/28783" TargetMode="External"/><Relationship Id="rId57" Type="http://schemas.openxmlformats.org/officeDocument/2006/relationships/hyperlink" Target="http://www.dailygammon.com/bg/user/31952" TargetMode="External"/><Relationship Id="rId262" Type="http://schemas.openxmlformats.org/officeDocument/2006/relationships/hyperlink" Target="http://www.dailygammon.com/bg/user/12968" TargetMode="External"/><Relationship Id="rId318" Type="http://schemas.openxmlformats.org/officeDocument/2006/relationships/hyperlink" Target="http://www.dailygammon.com/bg/user/21605" TargetMode="External"/><Relationship Id="rId99" Type="http://schemas.openxmlformats.org/officeDocument/2006/relationships/hyperlink" Target="http://www.dailygammon.com/bg/user/21605" TargetMode="External"/><Relationship Id="rId122" Type="http://schemas.openxmlformats.org/officeDocument/2006/relationships/hyperlink" Target="http://www.dailygammon.com/bg/user/34026" TargetMode="External"/><Relationship Id="rId164" Type="http://schemas.openxmlformats.org/officeDocument/2006/relationships/hyperlink" Target="http://www.dailygammon.com/bg/game/4998971/1/list" TargetMode="External"/><Relationship Id="rId371" Type="http://schemas.openxmlformats.org/officeDocument/2006/relationships/hyperlink" Target="http://www.dailygammon.com/bg/game/4998970/0/list" TargetMode="External"/><Relationship Id="rId26" Type="http://schemas.openxmlformats.org/officeDocument/2006/relationships/hyperlink" Target="http://www.dailygammon.com/bg/game/4999448/0/list" TargetMode="External"/><Relationship Id="rId231" Type="http://schemas.openxmlformats.org/officeDocument/2006/relationships/hyperlink" Target="http://www.dailygammon.com/bg/game/4999895/1/list" TargetMode="External"/><Relationship Id="rId273" Type="http://schemas.openxmlformats.org/officeDocument/2006/relationships/hyperlink" Target="http://www.dailygammon.com/bg/user/34026" TargetMode="External"/><Relationship Id="rId329" Type="http://schemas.openxmlformats.org/officeDocument/2006/relationships/hyperlink" Target="http://www.dailygammon.com/bg/game/4999177/0/list" TargetMode="External"/><Relationship Id="rId68" Type="http://schemas.openxmlformats.org/officeDocument/2006/relationships/hyperlink" Target="http://www.dailygammon.com/bg/game/4999725/0/list" TargetMode="External"/><Relationship Id="rId133" Type="http://schemas.openxmlformats.org/officeDocument/2006/relationships/hyperlink" Target="http://www.dailygammon.com/bg/user/12968" TargetMode="External"/><Relationship Id="rId175" Type="http://schemas.openxmlformats.org/officeDocument/2006/relationships/hyperlink" Target="http://www.dailygammon.com/bg/user/38369" TargetMode="External"/><Relationship Id="rId340" Type="http://schemas.openxmlformats.org/officeDocument/2006/relationships/hyperlink" Target="http://www.dailygammon.com/bg/user/8719"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dailygammon.com/bg/game/5129661/0/list" TargetMode="External"/><Relationship Id="rId21" Type="http://schemas.openxmlformats.org/officeDocument/2006/relationships/hyperlink" Target="http://dailygammon.com/bg/game/5129815/0/list" TargetMode="External"/><Relationship Id="rId42" Type="http://schemas.openxmlformats.org/officeDocument/2006/relationships/hyperlink" Target="http://dailygammon.com/bg/game/5128591/0/list" TargetMode="External"/><Relationship Id="rId47" Type="http://schemas.openxmlformats.org/officeDocument/2006/relationships/hyperlink" Target="http://dailygammon.com/bg/game/5129783/0/list" TargetMode="External"/><Relationship Id="rId63" Type="http://schemas.openxmlformats.org/officeDocument/2006/relationships/hyperlink" Target="http://dailygammon.com/bg/game/5127642/0/list" TargetMode="External"/><Relationship Id="rId68" Type="http://schemas.openxmlformats.org/officeDocument/2006/relationships/hyperlink" Target="http://dailygammon.com/bg/game/5127847/0/list" TargetMode="External"/><Relationship Id="rId84" Type="http://schemas.openxmlformats.org/officeDocument/2006/relationships/hyperlink" Target="http://dailygammon.com/bg/game/5127695/0/list" TargetMode="External"/><Relationship Id="rId89" Type="http://schemas.openxmlformats.org/officeDocument/2006/relationships/hyperlink" Target="http://dailygammon.com/bg/game/5127730/0/list" TargetMode="External"/><Relationship Id="rId16" Type="http://schemas.openxmlformats.org/officeDocument/2006/relationships/hyperlink" Target="http://dailygammon.com/bg/game/5128155/0/list" TargetMode="External"/><Relationship Id="rId11" Type="http://schemas.openxmlformats.org/officeDocument/2006/relationships/hyperlink" Target="http://dailygammon.com/bg/game/5128842/0/list" TargetMode="External"/><Relationship Id="rId32" Type="http://schemas.openxmlformats.org/officeDocument/2006/relationships/hyperlink" Target="http://dailygammon.com/bg/game/5129782/0/list" TargetMode="External"/><Relationship Id="rId37" Type="http://schemas.openxmlformats.org/officeDocument/2006/relationships/hyperlink" Target="http://dailygammon.com/bg/game/5128614/0/list" TargetMode="External"/><Relationship Id="rId53" Type="http://schemas.openxmlformats.org/officeDocument/2006/relationships/hyperlink" Target="http://dailygammon.com/bg/game/5129847/0/list" TargetMode="External"/><Relationship Id="rId58" Type="http://schemas.openxmlformats.org/officeDocument/2006/relationships/hyperlink" Target="http://dailygammon.com/bg/game/5129251/0/list" TargetMode="External"/><Relationship Id="rId74" Type="http://schemas.openxmlformats.org/officeDocument/2006/relationships/hyperlink" Target="http://dailygammon.com/bg/game/5127952/0/list" TargetMode="External"/><Relationship Id="rId79" Type="http://schemas.openxmlformats.org/officeDocument/2006/relationships/hyperlink" Target="http://dailygammon.com/bg/game/5127778/0/list" TargetMode="External"/><Relationship Id="rId5" Type="http://schemas.openxmlformats.org/officeDocument/2006/relationships/hyperlink" Target="http://dailygammon.com/bg/game/5129780/0/list" TargetMode="External"/><Relationship Id="rId90" Type="http://schemas.openxmlformats.org/officeDocument/2006/relationships/hyperlink" Target="http://dailygammon.com/bg/game/5127740/0/list" TargetMode="External"/><Relationship Id="rId14" Type="http://schemas.openxmlformats.org/officeDocument/2006/relationships/hyperlink" Target="http://dailygammon.com/bg/game/5129781/0/list" TargetMode="External"/><Relationship Id="rId22" Type="http://schemas.openxmlformats.org/officeDocument/2006/relationships/hyperlink" Target="http://dailygammon.com/bg/game/5129712/0/list" TargetMode="External"/><Relationship Id="rId27" Type="http://schemas.openxmlformats.org/officeDocument/2006/relationships/hyperlink" Target="http://dailygammon.com/bg/game/5129665/0/list" TargetMode="External"/><Relationship Id="rId30" Type="http://schemas.openxmlformats.org/officeDocument/2006/relationships/hyperlink" Target="http://dailygammon.com/bg/game/5129615/0/list" TargetMode="External"/><Relationship Id="rId35" Type="http://schemas.openxmlformats.org/officeDocument/2006/relationships/hyperlink" Target="http://dailygammon.com/bg/game/5129260/0/list" TargetMode="External"/><Relationship Id="rId43" Type="http://schemas.openxmlformats.org/officeDocument/2006/relationships/hyperlink" Target="http://dailygammon.com/bg/game/5128707/0/list" TargetMode="External"/><Relationship Id="rId48" Type="http://schemas.openxmlformats.org/officeDocument/2006/relationships/hyperlink" Target="http://dailygammon.com/bg/game/5129890/0/list" TargetMode="External"/><Relationship Id="rId56" Type="http://schemas.openxmlformats.org/officeDocument/2006/relationships/hyperlink" Target="http://dailygammon.com/bg/game/5127953/0/list" TargetMode="External"/><Relationship Id="rId64" Type="http://schemas.openxmlformats.org/officeDocument/2006/relationships/hyperlink" Target="http://dailygammon.com/bg/game/5127882/0/list" TargetMode="External"/><Relationship Id="rId69" Type="http://schemas.openxmlformats.org/officeDocument/2006/relationships/hyperlink" Target="http://dailygammon.com/bg/game/5129776/0/list" TargetMode="External"/><Relationship Id="rId77" Type="http://schemas.openxmlformats.org/officeDocument/2006/relationships/hyperlink" Target="http://dailygammon.com/bg/game/5127848/0/list" TargetMode="External"/><Relationship Id="rId8" Type="http://schemas.openxmlformats.org/officeDocument/2006/relationships/hyperlink" Target="http://dailygammon.com/bg/game/5128981/0/list" TargetMode="External"/><Relationship Id="rId51" Type="http://schemas.openxmlformats.org/officeDocument/2006/relationships/hyperlink" Target="http://dailygammon.com/bg/game/5129818/0/list" TargetMode="External"/><Relationship Id="rId72" Type="http://schemas.openxmlformats.org/officeDocument/2006/relationships/hyperlink" Target="http://dailygammon.com/bg/game/5128299/0/list" TargetMode="External"/><Relationship Id="rId80" Type="http://schemas.openxmlformats.org/officeDocument/2006/relationships/hyperlink" Target="http://dailygammon.com/bg/game/5127781/0/list" TargetMode="External"/><Relationship Id="rId85" Type="http://schemas.openxmlformats.org/officeDocument/2006/relationships/hyperlink" Target="http://dailygammon.com/bg/game/5129253/0/list" TargetMode="External"/><Relationship Id="rId3" Type="http://schemas.openxmlformats.org/officeDocument/2006/relationships/hyperlink" Target="http://dailygammon.com/bg/game/5129255/0/list" TargetMode="External"/><Relationship Id="rId12" Type="http://schemas.openxmlformats.org/officeDocument/2006/relationships/hyperlink" Target="http://dailygammon.com/bg/game/5129250/0/list" TargetMode="External"/><Relationship Id="rId17" Type="http://schemas.openxmlformats.org/officeDocument/2006/relationships/hyperlink" Target="http://dailygammon.com/bg/game/5128151/0/list" TargetMode="External"/><Relationship Id="rId25" Type="http://schemas.openxmlformats.org/officeDocument/2006/relationships/hyperlink" Target="http://dailygammon.com/bg/game/5129718/0/list" TargetMode="External"/><Relationship Id="rId33" Type="http://schemas.openxmlformats.org/officeDocument/2006/relationships/hyperlink" Target="http://dailygammon.com/bg/game/5129275/0/list" TargetMode="External"/><Relationship Id="rId38" Type="http://schemas.openxmlformats.org/officeDocument/2006/relationships/hyperlink" Target="http://dailygammon.com/bg/game/5128316/0/list" TargetMode="External"/><Relationship Id="rId46" Type="http://schemas.openxmlformats.org/officeDocument/2006/relationships/hyperlink" Target="http://dailygammon.com/bg/game/5129789/0/list" TargetMode="External"/><Relationship Id="rId59" Type="http://schemas.openxmlformats.org/officeDocument/2006/relationships/hyperlink" Target="http://dailygammon.com/bg/game/5127638/0/list" TargetMode="External"/><Relationship Id="rId67" Type="http://schemas.openxmlformats.org/officeDocument/2006/relationships/hyperlink" Target="http://dailygammon.com/bg/game/5129249/0/list" TargetMode="External"/><Relationship Id="rId20" Type="http://schemas.openxmlformats.org/officeDocument/2006/relationships/hyperlink" Target="http://dailygammon.com/bg/game/5129729/0/list" TargetMode="External"/><Relationship Id="rId41" Type="http://schemas.openxmlformats.org/officeDocument/2006/relationships/hyperlink" Target="http://dailygammon.com/bg/game/5129777/0/list" TargetMode="External"/><Relationship Id="rId54" Type="http://schemas.openxmlformats.org/officeDocument/2006/relationships/hyperlink" Target="http://dailygammon.com/bg/game/5129893/0/list" TargetMode="External"/><Relationship Id="rId62" Type="http://schemas.openxmlformats.org/officeDocument/2006/relationships/hyperlink" Target="http://dailygammon.com/bg/game/5127739/0/list" TargetMode="External"/><Relationship Id="rId70" Type="http://schemas.openxmlformats.org/officeDocument/2006/relationships/hyperlink" Target="http://dailygammon.com/bg/game/5127824/0/list" TargetMode="External"/><Relationship Id="rId75" Type="http://schemas.openxmlformats.org/officeDocument/2006/relationships/hyperlink" Target="http://dailygammon.com/bg/game/5128843/0/list" TargetMode="External"/><Relationship Id="rId83" Type="http://schemas.openxmlformats.org/officeDocument/2006/relationships/hyperlink" Target="http://dailygammon.com/bg/game/5127955/0/list" TargetMode="External"/><Relationship Id="rId88" Type="http://schemas.openxmlformats.org/officeDocument/2006/relationships/hyperlink" Target="http://dailygammon.com/bg/game/5127635/0/list" TargetMode="External"/><Relationship Id="rId91" Type="http://schemas.openxmlformats.org/officeDocument/2006/relationships/printerSettings" Target="../printerSettings/printerSettings6.bin"/><Relationship Id="rId1" Type="http://schemas.openxmlformats.org/officeDocument/2006/relationships/hyperlink" Target="http://dailygammon.com/bg/game/5128914/0/list" TargetMode="External"/><Relationship Id="rId6" Type="http://schemas.openxmlformats.org/officeDocument/2006/relationships/hyperlink" Target="http://dailygammon.com/bg/game/5129063/0/list" TargetMode="External"/><Relationship Id="rId15" Type="http://schemas.openxmlformats.org/officeDocument/2006/relationships/hyperlink" Target="http://dailygammon.com/bg/game/5127974/0/list" TargetMode="External"/><Relationship Id="rId23" Type="http://schemas.openxmlformats.org/officeDocument/2006/relationships/hyperlink" Target="http://dailygammon.com/bg/game/5129778/0/list" TargetMode="External"/><Relationship Id="rId28" Type="http://schemas.openxmlformats.org/officeDocument/2006/relationships/hyperlink" Target="http://dailygammon.com/bg/game/5129278/0/list" TargetMode="External"/><Relationship Id="rId36" Type="http://schemas.openxmlformats.org/officeDocument/2006/relationships/hyperlink" Target="http://dailygammon.com/bg/game/5129355/0/list" TargetMode="External"/><Relationship Id="rId49" Type="http://schemas.openxmlformats.org/officeDocument/2006/relationships/hyperlink" Target="http://dailygammon.com/bg/game/5129814/0/list" TargetMode="External"/><Relationship Id="rId57" Type="http://schemas.openxmlformats.org/officeDocument/2006/relationships/hyperlink" Target="http://dailygammon.com/bg/game/5127694/0/list" TargetMode="External"/><Relationship Id="rId10" Type="http://schemas.openxmlformats.org/officeDocument/2006/relationships/hyperlink" Target="http://dailygammon.com/bg/game/5127964/0/list" TargetMode="External"/><Relationship Id="rId31" Type="http://schemas.openxmlformats.org/officeDocument/2006/relationships/hyperlink" Target="http://dailygammon.com/bg/game/5129261/0/list" TargetMode="External"/><Relationship Id="rId44" Type="http://schemas.openxmlformats.org/officeDocument/2006/relationships/hyperlink" Target="http://dailygammon.com/bg/game/5128413/0/list" TargetMode="External"/><Relationship Id="rId52" Type="http://schemas.openxmlformats.org/officeDocument/2006/relationships/hyperlink" Target="http://dailygammon.com/bg/game/5129811/0/list" TargetMode="External"/><Relationship Id="rId60" Type="http://schemas.openxmlformats.org/officeDocument/2006/relationships/hyperlink" Target="http://dailygammon.com/bg/game/5129779/0/list" TargetMode="External"/><Relationship Id="rId65" Type="http://schemas.openxmlformats.org/officeDocument/2006/relationships/hyperlink" Target="http://dailygammon.com/bg/game/5127951/0/list" TargetMode="External"/><Relationship Id="rId73" Type="http://schemas.openxmlformats.org/officeDocument/2006/relationships/hyperlink" Target="http://dailygammon.com/bg/game/5127879/0/list" TargetMode="External"/><Relationship Id="rId78" Type="http://schemas.openxmlformats.org/officeDocument/2006/relationships/hyperlink" Target="http://dailygammon.com/bg/game/5129774/0/list" TargetMode="External"/><Relationship Id="rId81" Type="http://schemas.openxmlformats.org/officeDocument/2006/relationships/hyperlink" Target="http://dailygammon.com/bg/game/5128297/0/list" TargetMode="External"/><Relationship Id="rId86" Type="http://schemas.openxmlformats.org/officeDocument/2006/relationships/hyperlink" Target="http://dailygammon.com/bg/game/5127626/0/list" TargetMode="External"/><Relationship Id="rId4" Type="http://schemas.openxmlformats.org/officeDocument/2006/relationships/hyperlink" Target="http://dailygammon.com/bg/game/5128877/0/list" TargetMode="External"/><Relationship Id="rId9" Type="http://schemas.openxmlformats.org/officeDocument/2006/relationships/hyperlink" Target="http://dailygammon.com/bg/game/5128885/0/list" TargetMode="External"/><Relationship Id="rId13" Type="http://schemas.openxmlformats.org/officeDocument/2006/relationships/hyperlink" Target="http://dailygammon.com/bg/game/5127966/0/list" TargetMode="External"/><Relationship Id="rId18" Type="http://schemas.openxmlformats.org/officeDocument/2006/relationships/hyperlink" Target="http://dailygammon.com/bg/game/5128298/0/list" TargetMode="External"/><Relationship Id="rId39" Type="http://schemas.openxmlformats.org/officeDocument/2006/relationships/hyperlink" Target="http://dailygammon.com/bg/game/5128844/0/list" TargetMode="External"/><Relationship Id="rId34" Type="http://schemas.openxmlformats.org/officeDocument/2006/relationships/hyperlink" Target="http://dailygammon.com/bg/game/5129258/0/list" TargetMode="External"/><Relationship Id="rId50" Type="http://schemas.openxmlformats.org/officeDocument/2006/relationships/hyperlink" Target="http://dailygammon.com/bg/game/5129784/0/list" TargetMode="External"/><Relationship Id="rId55" Type="http://schemas.openxmlformats.org/officeDocument/2006/relationships/hyperlink" Target="http://dailygammon.com/bg/game/5127880/0/list" TargetMode="External"/><Relationship Id="rId76" Type="http://schemas.openxmlformats.org/officeDocument/2006/relationships/hyperlink" Target="http://dailygammon.com/bg/game/5129252/0/list" TargetMode="External"/><Relationship Id="rId7" Type="http://schemas.openxmlformats.org/officeDocument/2006/relationships/hyperlink" Target="http://dailygammon.com/bg/game/5128973/0/list" TargetMode="External"/><Relationship Id="rId71" Type="http://schemas.openxmlformats.org/officeDocument/2006/relationships/hyperlink" Target="http://dailygammon.com/bg/game/5127836/0/list" TargetMode="External"/><Relationship Id="rId2" Type="http://schemas.openxmlformats.org/officeDocument/2006/relationships/hyperlink" Target="http://dailygammon.com/bg/game/5129113/0/list" TargetMode="External"/><Relationship Id="rId29" Type="http://schemas.openxmlformats.org/officeDocument/2006/relationships/hyperlink" Target="http://dailygammon.com/bg/game/5129257/0/list" TargetMode="External"/><Relationship Id="rId24" Type="http://schemas.openxmlformats.org/officeDocument/2006/relationships/hyperlink" Target="http://dailygammon.com/bg/game/5129693/0/list" TargetMode="External"/><Relationship Id="rId40" Type="http://schemas.openxmlformats.org/officeDocument/2006/relationships/hyperlink" Target="http://dailygammon.com/bg/game/5129254/0/list" TargetMode="External"/><Relationship Id="rId45" Type="http://schemas.openxmlformats.org/officeDocument/2006/relationships/hyperlink" Target="http://dailygammon.com/bg/game/5128296/0/list" TargetMode="External"/><Relationship Id="rId66" Type="http://schemas.openxmlformats.org/officeDocument/2006/relationships/hyperlink" Target="http://dailygammon.com/bg/game/5128840/0/list" TargetMode="External"/><Relationship Id="rId87" Type="http://schemas.openxmlformats.org/officeDocument/2006/relationships/hyperlink" Target="http://dailygammon.com/bg/game/5129775/0/list" TargetMode="External"/><Relationship Id="rId61" Type="http://schemas.openxmlformats.org/officeDocument/2006/relationships/hyperlink" Target="http://dailygammon.com/bg/game/5127729/0/list" TargetMode="External"/><Relationship Id="rId82" Type="http://schemas.openxmlformats.org/officeDocument/2006/relationships/hyperlink" Target="http://dailygammon.com/bg/game/5127881/0/list" TargetMode="External"/><Relationship Id="rId19" Type="http://schemas.openxmlformats.org/officeDocument/2006/relationships/hyperlink" Target="http://dailygammon.com/bg/game/5129788/0/list"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68751-B596-4C59-9C37-92CA4D45B322}">
  <sheetPr codeName="Tabelle8"/>
  <dimension ref="A1:D7"/>
  <sheetViews>
    <sheetView workbookViewId="0">
      <selection activeCell="D30" sqref="D30"/>
    </sheetView>
  </sheetViews>
  <sheetFormatPr baseColWidth="10" defaultColWidth="11.453125" defaultRowHeight="14.5" x14ac:dyDescent="0.35"/>
  <cols>
    <col min="1" max="1" width="6.6328125" bestFit="1" customWidth="1"/>
    <col min="2" max="2" width="16.36328125" bestFit="1" customWidth="1"/>
    <col min="3" max="3" width="15.90625" bestFit="1" customWidth="1"/>
  </cols>
  <sheetData>
    <row r="1" spans="1:4" x14ac:dyDescent="0.35">
      <c r="A1" t="s">
        <v>34</v>
      </c>
      <c r="B1" t="s">
        <v>33</v>
      </c>
      <c r="C1" t="s">
        <v>32</v>
      </c>
      <c r="D1" t="s">
        <v>35</v>
      </c>
    </row>
    <row r="2" spans="1:4" x14ac:dyDescent="0.35">
      <c r="A2">
        <v>1</v>
      </c>
      <c r="B2">
        <v>1</v>
      </c>
      <c r="C2">
        <v>4</v>
      </c>
      <c r="D2">
        <v>10</v>
      </c>
    </row>
    <row r="3" spans="1:4" x14ac:dyDescent="0.35">
      <c r="A3">
        <v>2</v>
      </c>
      <c r="B3">
        <v>2</v>
      </c>
      <c r="C3">
        <v>3</v>
      </c>
      <c r="D3">
        <v>10</v>
      </c>
    </row>
    <row r="4" spans="1:4" x14ac:dyDescent="0.35">
      <c r="A4">
        <v>3</v>
      </c>
      <c r="B4">
        <v>2</v>
      </c>
      <c r="C4">
        <v>4</v>
      </c>
      <c r="D4">
        <v>10</v>
      </c>
    </row>
    <row r="5" spans="1:4" x14ac:dyDescent="0.35">
      <c r="A5">
        <v>4</v>
      </c>
      <c r="B5">
        <v>3</v>
      </c>
      <c r="C5">
        <v>3</v>
      </c>
      <c r="D5">
        <v>10</v>
      </c>
    </row>
    <row r="6" spans="1:4" x14ac:dyDescent="0.35">
      <c r="A6">
        <v>5</v>
      </c>
      <c r="B6">
        <v>4</v>
      </c>
      <c r="C6">
        <v>0</v>
      </c>
      <c r="D6">
        <v>10</v>
      </c>
    </row>
    <row r="7" spans="1:4" x14ac:dyDescent="0.35">
      <c r="A7">
        <v>6</v>
      </c>
      <c r="B7">
        <v>0</v>
      </c>
      <c r="C7">
        <v>0</v>
      </c>
      <c r="D7">
        <v>10</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11AF1-62A1-453B-B40C-97CE9BC60A76}">
  <sheetPr codeName="Tabelle13"/>
  <dimension ref="A1:B6"/>
  <sheetViews>
    <sheetView topLeftCell="A3" workbookViewId="0">
      <selection activeCell="B6" sqref="B6"/>
    </sheetView>
  </sheetViews>
  <sheetFormatPr baseColWidth="10" defaultColWidth="11.54296875" defaultRowHeight="14.5" x14ac:dyDescent="0.35"/>
  <cols>
    <col min="1" max="1" width="11.54296875" style="60"/>
    <col min="2" max="2" width="76.90625" style="61" customWidth="1"/>
    <col min="3" max="16384" width="11.54296875" style="60"/>
  </cols>
  <sheetData>
    <row r="1" spans="1:2" x14ac:dyDescent="0.35">
      <c r="A1" s="60" t="s">
        <v>169</v>
      </c>
    </row>
    <row r="2" spans="1:2" ht="159.5" x14ac:dyDescent="0.35">
      <c r="A2" s="60" t="s">
        <v>170</v>
      </c>
      <c r="B2" s="61" t="s">
        <v>171</v>
      </c>
    </row>
    <row r="3" spans="1:2" ht="58" x14ac:dyDescent="0.35">
      <c r="A3" s="60" t="s">
        <v>172</v>
      </c>
      <c r="B3" s="61" t="s">
        <v>173</v>
      </c>
    </row>
    <row r="4" spans="1:2" ht="43.5" x14ac:dyDescent="0.35">
      <c r="A4" s="60" t="s">
        <v>174</v>
      </c>
      <c r="B4" s="61" t="s">
        <v>175</v>
      </c>
    </row>
    <row r="5" spans="1:2" ht="58" x14ac:dyDescent="0.35">
      <c r="A5" s="60" t="s">
        <v>176</v>
      </c>
      <c r="B5" s="61" t="s">
        <v>177</v>
      </c>
    </row>
    <row r="6" spans="1:2" ht="261" x14ac:dyDescent="0.35">
      <c r="A6" s="62" t="s">
        <v>179</v>
      </c>
      <c r="B6" s="63" t="s">
        <v>187</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F04C3-556A-4C78-801F-32F67B472A0E}">
  <sheetPr codeName="Tabelle4"/>
  <dimension ref="A1:D11"/>
  <sheetViews>
    <sheetView tabSelected="1" workbookViewId="0">
      <selection activeCell="A2" sqref="A2:A10"/>
    </sheetView>
  </sheetViews>
  <sheetFormatPr baseColWidth="10" defaultColWidth="11.453125" defaultRowHeight="14.5" x14ac:dyDescent="0.35"/>
  <cols>
    <col min="1" max="1" width="18.453125" customWidth="1"/>
    <col min="2" max="2" width="11.6328125" customWidth="1"/>
    <col min="3" max="3" width="14.36328125" customWidth="1"/>
    <col min="4" max="4" width="15.08984375" bestFit="1" customWidth="1"/>
  </cols>
  <sheetData>
    <row r="1" spans="1:4" x14ac:dyDescent="0.35">
      <c r="A1" t="s">
        <v>27</v>
      </c>
      <c r="B1" t="s">
        <v>26</v>
      </c>
      <c r="C1" s="16" t="s">
        <v>249</v>
      </c>
      <c r="D1" t="s">
        <v>29</v>
      </c>
    </row>
    <row r="2" spans="1:4" ht="15.5" x14ac:dyDescent="0.35">
      <c r="A2" s="31" t="s">
        <v>250</v>
      </c>
      <c r="B2" s="3" t="s">
        <v>14</v>
      </c>
      <c r="D2" s="21"/>
    </row>
    <row r="3" spans="1:4" x14ac:dyDescent="0.35">
      <c r="A3" s="31" t="s">
        <v>251</v>
      </c>
      <c r="D3" s="21"/>
    </row>
    <row r="4" spans="1:4" x14ac:dyDescent="0.35">
      <c r="A4" s="31" t="s">
        <v>252</v>
      </c>
      <c r="D4" s="21"/>
    </row>
    <row r="5" spans="1:4" x14ac:dyDescent="0.35">
      <c r="A5" s="31" t="s">
        <v>253</v>
      </c>
      <c r="D5" s="21"/>
    </row>
    <row r="6" spans="1:4" x14ac:dyDescent="0.35">
      <c r="A6" s="31" t="s">
        <v>254</v>
      </c>
      <c r="D6" s="21"/>
    </row>
    <row r="7" spans="1:4" x14ac:dyDescent="0.35">
      <c r="A7" s="31" t="s">
        <v>255</v>
      </c>
      <c r="D7" s="21"/>
    </row>
    <row r="8" spans="1:4" x14ac:dyDescent="0.35">
      <c r="A8" s="31" t="s">
        <v>256</v>
      </c>
      <c r="D8" s="21"/>
    </row>
    <row r="9" spans="1:4" x14ac:dyDescent="0.35">
      <c r="A9" s="59" t="s">
        <v>257</v>
      </c>
      <c r="D9" s="21"/>
    </row>
    <row r="10" spans="1:4" x14ac:dyDescent="0.35">
      <c r="A10" s="31" t="s">
        <v>258</v>
      </c>
      <c r="D10" s="21"/>
    </row>
    <row r="11" spans="1:4" x14ac:dyDescent="0.35">
      <c r="A11" s="31"/>
      <c r="D11" s="21"/>
    </row>
  </sheetData>
  <sheetProtection sheet="1" objects="1" scenarios="1"/>
  <sortState xmlns:xlrd2="http://schemas.microsoft.com/office/spreadsheetml/2017/richdata2" ref="A2:A10">
    <sortCondition ref="A2:A10"/>
  </sortState>
  <conditionalFormatting sqref="C1">
    <cfRule type="cellIs" dxfId="0" priority="1" operator="equal">
      <formula>""</formula>
    </cfRule>
  </conditionalFormatting>
  <dataValidations count="1">
    <dataValidation type="list" showInputMessage="1" showErrorMessage="1" errorTitle="Error" error="Please select the group for this worksheet." sqref="C1" xr:uid="{E605CE74-65DF-43EE-9200-1B06A9B38CE5}">
      <formula1>"1a,2a,2b,3a,3b,3c,4a,4b,4c,4d,5a,5b,5c,5d,6a,6b,6c,6d"</formula1>
    </dataValidation>
  </dataValidations>
  <hyperlinks>
    <hyperlink ref="A4" r:id="rId1" xr:uid="{CC1B7BD0-46F6-480D-9A51-998E93DE8FEF}"/>
    <hyperlink ref="A8" r:id="rId2" xr:uid="{C86328D1-6578-404C-A988-FEA73EBDB88A}"/>
    <hyperlink ref="A7" r:id="rId3" xr:uid="{9787A33A-0FDE-4716-A87C-666F9EE3E523}"/>
    <hyperlink ref="A2" r:id="rId4" xr:uid="{3AFA0AE9-6696-403A-8052-151C10011B4C}"/>
    <hyperlink ref="A5" r:id="rId5" xr:uid="{95F0BF0B-4268-4546-B3C0-3785C240B1AB}"/>
    <hyperlink ref="A6" r:id="rId6" xr:uid="{0B75DD2A-4E2C-478A-8406-F8535BF27656}"/>
    <hyperlink ref="A10" r:id="rId7" display="40365" xr:uid="{9BA6E816-E169-4EA3-8F68-9323D893DBBD}"/>
    <hyperlink ref="A3" r:id="rId8" display="http://www.dailygammon.com/bg/user/39676" xr:uid="{DB4FC1C4-ED8F-4214-96E2-617E98C67DA5}"/>
    <hyperlink ref="A9" r:id="rId9" xr:uid="{78664B36-A819-4116-B8CB-EF0FD80E1284}"/>
  </hyperlinks>
  <pageMargins left="0.7" right="0.7" top="0.78740157499999996" bottom="0.78740157499999996" header="0.3" footer="0.3"/>
  <pageSetup paperSize="9" orientation="portrait" r:id="rId1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6532E-89F8-45C8-831A-4EBD3DBFB185}">
  <sheetPr codeName="Tabelle2"/>
  <dimension ref="A1:BE18"/>
  <sheetViews>
    <sheetView zoomScaleNormal="100" workbookViewId="0">
      <selection activeCell="E22" sqref="E22"/>
    </sheetView>
  </sheetViews>
  <sheetFormatPr baseColWidth="10" defaultColWidth="11.54296875" defaultRowHeight="14.5" x14ac:dyDescent="0.35"/>
  <cols>
    <col min="1" max="1" width="18.453125" customWidth="1"/>
    <col min="2" max="21" width="3.6328125" customWidth="1"/>
    <col min="22" max="22" width="3" hidden="1" customWidth="1"/>
    <col min="23" max="25" width="3.6328125" hidden="1" customWidth="1"/>
    <col min="26" max="26" width="9" hidden="1" customWidth="1"/>
    <col min="27" max="27" width="5.36328125" hidden="1" customWidth="1"/>
    <col min="28" max="28" width="9" hidden="1" customWidth="1"/>
    <col min="29" max="29" width="5.36328125" hidden="1" customWidth="1"/>
    <col min="30" max="30" width="4" hidden="1" customWidth="1"/>
    <col min="31" max="33" width="4.6328125" hidden="1" customWidth="1"/>
    <col min="34" max="34" width="7" hidden="1" customWidth="1"/>
    <col min="35" max="35" width="11.54296875" hidden="1" customWidth="1"/>
    <col min="36" max="45" width="3" hidden="1" customWidth="1"/>
    <col min="46" max="46" width="12" hidden="1" customWidth="1"/>
    <col min="47" max="56" width="3" hidden="1" customWidth="1"/>
    <col min="57" max="57" width="12" hidden="1" customWidth="1"/>
  </cols>
  <sheetData>
    <row r="1" spans="1:57" x14ac:dyDescent="0.35">
      <c r="V1" s="83" t="s">
        <v>3</v>
      </c>
      <c r="W1" s="84"/>
      <c r="X1" s="84"/>
      <c r="Y1" s="84"/>
      <c r="Z1" s="84"/>
      <c r="AA1" s="85"/>
      <c r="AB1" s="83" t="s">
        <v>9</v>
      </c>
      <c r="AC1" s="84"/>
      <c r="AD1" s="84"/>
      <c r="AE1" s="84"/>
      <c r="AF1" s="84"/>
      <c r="AG1" s="84"/>
      <c r="AH1" s="84"/>
      <c r="AI1" s="69"/>
    </row>
    <row r="2" spans="1:57" x14ac:dyDescent="0.35">
      <c r="V2" s="87" t="s">
        <v>6</v>
      </c>
      <c r="W2" s="88"/>
      <c r="X2" s="88" t="s">
        <v>7</v>
      </c>
      <c r="Y2" s="88"/>
      <c r="Z2" s="71"/>
      <c r="AA2" s="72"/>
      <c r="AB2" s="70"/>
      <c r="AC2" s="71"/>
      <c r="AD2" s="88" t="s">
        <v>6</v>
      </c>
      <c r="AE2" s="88"/>
      <c r="AF2" s="88" t="s">
        <v>7</v>
      </c>
      <c r="AG2" s="88"/>
      <c r="AH2" s="89" t="s">
        <v>8</v>
      </c>
      <c r="AI2" s="90"/>
    </row>
    <row r="3" spans="1:57" ht="100.25" customHeight="1" x14ac:dyDescent="0.35">
      <c r="A3" s="32" t="str">
        <f>Group</f>
        <v>5b</v>
      </c>
      <c r="B3" s="86" t="str">
        <f>$A4</f>
        <v>andersm</v>
      </c>
      <c r="C3" s="86"/>
      <c r="D3" s="86" t="str">
        <f>$A5</f>
        <v>jebediasmie</v>
      </c>
      <c r="E3" s="86"/>
      <c r="F3" s="86" t="str">
        <f>$A6</f>
        <v>Michael the pariah</v>
      </c>
      <c r="G3" s="86"/>
      <c r="H3" s="86" t="str">
        <f>$A7</f>
        <v>MungoMH</v>
      </c>
      <c r="I3" s="86"/>
      <c r="J3" s="86" t="str">
        <f>$A8</f>
        <v>neptun</v>
      </c>
      <c r="K3" s="86"/>
      <c r="L3" s="86" t="str">
        <f>$A9</f>
        <v>oldehippy</v>
      </c>
      <c r="M3" s="86"/>
      <c r="N3" s="86" t="str">
        <f>$A10</f>
        <v>silvercilla</v>
      </c>
      <c r="O3" s="86"/>
      <c r="P3" s="86" t="str">
        <f>$A11</f>
        <v>T.J.</v>
      </c>
      <c r="Q3" s="86"/>
      <c r="R3" s="86" t="str">
        <f>$A12</f>
        <v>Yolandaine</v>
      </c>
      <c r="S3" s="86"/>
      <c r="T3" s="86" t="str">
        <f>$A13</f>
        <v/>
      </c>
      <c r="U3" s="91"/>
      <c r="V3" s="1" t="s">
        <v>0</v>
      </c>
      <c r="W3" t="s">
        <v>1</v>
      </c>
      <c r="X3" t="s">
        <v>0</v>
      </c>
      <c r="Y3" t="s">
        <v>1</v>
      </c>
      <c r="Z3" t="s">
        <v>10</v>
      </c>
      <c r="AA3" s="69" t="s">
        <v>11</v>
      </c>
      <c r="AB3" s="1" t="s">
        <v>10</v>
      </c>
      <c r="AC3" t="s">
        <v>11</v>
      </c>
      <c r="AD3" t="s">
        <v>0</v>
      </c>
      <c r="AE3" t="s">
        <v>1</v>
      </c>
      <c r="AF3" t="s">
        <v>0</v>
      </c>
      <c r="AG3" t="s">
        <v>1</v>
      </c>
      <c r="AH3" t="s">
        <v>6</v>
      </c>
      <c r="AI3" s="69" t="s">
        <v>7</v>
      </c>
      <c r="AJ3" s="92" t="s">
        <v>38</v>
      </c>
      <c r="AK3" s="93"/>
      <c r="AL3" s="93"/>
      <c r="AM3" s="93"/>
      <c r="AN3" s="93"/>
      <c r="AO3" s="93"/>
      <c r="AP3" s="93"/>
      <c r="AQ3" s="93"/>
      <c r="AR3" s="93"/>
      <c r="AS3" s="93"/>
      <c r="AT3" s="93"/>
      <c r="AU3" s="92" t="s">
        <v>39</v>
      </c>
      <c r="AV3" s="93"/>
      <c r="AW3" s="93"/>
      <c r="AX3" s="93"/>
      <c r="AY3" s="93"/>
      <c r="AZ3" s="93"/>
      <c r="BA3" s="93"/>
      <c r="BB3" s="93"/>
      <c r="BC3" s="93"/>
      <c r="BD3" s="93"/>
      <c r="BE3" s="93"/>
    </row>
    <row r="4" spans="1:57" x14ac:dyDescent="0.35">
      <c r="A4" s="33" t="str">
        <f>IF(Player1="","",Player1)</f>
        <v>andersm</v>
      </c>
      <c r="B4" s="82"/>
      <c r="C4" s="82"/>
      <c r="D4" s="73"/>
      <c r="E4" s="73"/>
      <c r="F4" s="74"/>
      <c r="G4" s="74"/>
      <c r="H4" s="73"/>
      <c r="I4" s="73"/>
      <c r="J4" s="73"/>
      <c r="K4" s="73"/>
      <c r="L4" s="73"/>
      <c r="M4" s="73"/>
      <c r="N4" s="73"/>
      <c r="O4" s="73"/>
      <c r="P4" s="73"/>
      <c r="Q4" s="73"/>
      <c r="R4" s="73"/>
      <c r="S4" s="73"/>
      <c r="T4" s="73"/>
      <c r="U4" s="75"/>
      <c r="V4" s="1">
        <f>SUM(B4,D4,F4,H4,J4,L4,N4,P4,R4,T4)</f>
        <v>0</v>
      </c>
      <c r="W4">
        <f>-1*SUM(C4,E4,G4,I4,K4,M4,O4,Q4,S4,U4)</f>
        <v>0</v>
      </c>
      <c r="X4">
        <f>(
IF(OR(B4&gt;=11,C4&gt;=11),B4,0) +
IF(OR(D4&gt;=11,E4&gt;=11),D4,0) +
IF(OR(F4&gt;=11,G4&gt;=11),F4,0) +
IF(OR(H4&gt;=11,I4&gt;=11),H4,0) +
IF(OR(J4&gt;=11,K4&gt;=11),J4,0) +
IF(OR(L4&gt;=11,M4&gt;=11),L4,0) +
IF(OR(N4&gt;=11,O4&gt;=11),N4,0) +
IF(OR(P4&gt;=11,Q4&gt;=11),P4,0) +
IF(OR(R4&gt;=11,S4&gt;=11),R4,0) +
IF(OR(T4&gt;=11,U4&gt;=11),T4,0) )</f>
        <v>0</v>
      </c>
      <c r="Y4">
        <f>-1*(
IF(OR(B4&gt;=11,C4&gt;=11),C4,0) +
IF(OR(D4&gt;=11,E4&gt;=11),E4,0) +
IF(OR(F4&gt;=11,G4&gt;=11),G4,0) +
IF(OR(H4&gt;=11,I4&gt;=11),I4,0) +
IF(OR(J4&gt;=11,K4&gt;=11),K4,0) +
IF(OR(L4&gt;=11,M4&gt;=11),M4,0) +
IF(OR(N4&gt;=11,O4&gt;=11),O4,0) +
IF(OR(P4&gt;=11,Q4&gt;=11),Q4,0) +
IF(OR(R4&gt;=11,S4&gt;=11),S4,0) +
IF(OR(T4&gt;=11,U4&gt;=11),U4,0)
)</f>
        <v>0</v>
      </c>
      <c r="Z4">
        <f xml:space="preserve">
IF(C4&gt;=11,1,0)+
IF(E4&gt;=11,1,0)+
IF(G4&gt;=11,1,0)+
IF(I4&gt;=11,1,0)+
IF(K4&gt;=11,1,0)+
IF(M4&gt;=11,1,0)+
IF(O4&gt;=11,1,0)+
IF(Q4&gt;=11,1,0)+
IF(S4&gt;=11,1,0)+
IF(U4&gt;=11,1,0)</f>
        <v>0</v>
      </c>
      <c r="AA4" s="69">
        <f xml:space="preserve">
IF(B4&gt;=11,1,0)+
IF(D4&gt;=11,1,0)+
IF(F4&gt;=11,1,0)+
IF(H4&gt;=11,1,0)+
IF(J4&gt;=11,1,0)+
IF(L4&gt;=11,1,0)+
IF(N4&gt;=11,1,0)+
IF(P4&gt;=11,1,0)+
IF(R4&gt;=11,1,0)+
IF(T4&gt;=11,1,0)</f>
        <v>0</v>
      </c>
      <c r="AB4" s="1">
        <f>Z4+B$16</f>
        <v>0</v>
      </c>
      <c r="AC4">
        <f>AA4+C$16</f>
        <v>0</v>
      </c>
      <c r="AD4">
        <f>V4+C$14</f>
        <v>0</v>
      </c>
      <c r="AE4">
        <f>W4+B$14</f>
        <v>0</v>
      </c>
      <c r="AF4">
        <f>X4+C$15</f>
        <v>0</v>
      </c>
      <c r="AG4">
        <f>Y4+B$15</f>
        <v>0</v>
      </c>
      <c r="AH4">
        <f t="shared" ref="AH4:AH13" si="0">AD4+AE4</f>
        <v>0</v>
      </c>
      <c r="AI4" s="69">
        <f>AF4+AG4</f>
        <v>0</v>
      </c>
      <c r="AJ4">
        <f t="shared" ref="AJ4:AJ13" si="1">MAX(B4,C4)</f>
        <v>0</v>
      </c>
      <c r="AK4">
        <f t="shared" ref="AK4:AK13" si="2">MAX(D4,E4)</f>
        <v>0</v>
      </c>
      <c r="AL4">
        <f t="shared" ref="AL4:AL13" si="3">MAX(F4,G4)</f>
        <v>0</v>
      </c>
      <c r="AM4">
        <f t="shared" ref="AM4:AM13" si="4">MAX(H4,I4)</f>
        <v>0</v>
      </c>
      <c r="AN4">
        <f t="shared" ref="AN4:AN13" si="5">MAX(J4,K4)</f>
        <v>0</v>
      </c>
      <c r="AO4">
        <f t="shared" ref="AO4:AO13" si="6">MAX(L4,M4)</f>
        <v>0</v>
      </c>
      <c r="AP4">
        <f t="shared" ref="AP4:AP13" si="7">MAX(N4,O4)</f>
        <v>0</v>
      </c>
      <c r="AQ4">
        <f t="shared" ref="AQ4:AQ13" si="8">MAX(P4,Q4)</f>
        <v>0</v>
      </c>
      <c r="AR4">
        <f t="shared" ref="AR4:AR13" si="9">MAX(R4,S4)</f>
        <v>0</v>
      </c>
      <c r="AS4">
        <f t="shared" ref="AS4:AS13" si="10">MAX(T4,U4)</f>
        <v>0</v>
      </c>
      <c r="AT4">
        <f>SUM(AJ4:AS4)</f>
        <v>0</v>
      </c>
      <c r="AU4">
        <f t="shared" ref="AU4:AU13" si="11">SUM(B4,C4)</f>
        <v>0</v>
      </c>
      <c r="AV4">
        <f t="shared" ref="AV4:AV13" si="12">SUM(D4,E4)</f>
        <v>0</v>
      </c>
      <c r="AW4">
        <f t="shared" ref="AW4:AW13" si="13">SUM(F4,G4)</f>
        <v>0</v>
      </c>
      <c r="AX4">
        <f t="shared" ref="AX4:AX13" si="14">SUM(H4,I4)</f>
        <v>0</v>
      </c>
      <c r="AY4">
        <f t="shared" ref="AY4:AY13" si="15">SUM(J4,K4)</f>
        <v>0</v>
      </c>
      <c r="AZ4">
        <f t="shared" ref="AZ4:AZ13" si="16">SUM(L4,M4)</f>
        <v>0</v>
      </c>
      <c r="BA4">
        <f t="shared" ref="BA4:BA13" si="17">SUM(N4,O4)</f>
        <v>0</v>
      </c>
      <c r="BB4">
        <f t="shared" ref="BB4:BB13" si="18">SUM(P4,Q4)</f>
        <v>0</v>
      </c>
      <c r="BC4">
        <f t="shared" ref="BC4:BC13" si="19">SUM(R4,S4)</f>
        <v>0</v>
      </c>
      <c r="BD4">
        <f t="shared" ref="BD4:BD13" si="20">SUM(T4,U4)</f>
        <v>0</v>
      </c>
      <c r="BE4">
        <f t="shared" ref="BE4:BE13" si="21">(SUM(AU4:BD4)/21)/(NoOfPlayers-1)</f>
        <v>0</v>
      </c>
    </row>
    <row r="5" spans="1:57" x14ac:dyDescent="0.35">
      <c r="A5" s="33" t="str">
        <f>IF(Player2="","",Player2)</f>
        <v>jebediasmie</v>
      </c>
      <c r="B5" s="73"/>
      <c r="C5" s="73"/>
      <c r="D5" s="76"/>
      <c r="E5" s="76"/>
      <c r="F5" s="73"/>
      <c r="G5" s="73"/>
      <c r="H5" s="73"/>
      <c r="I5" s="73"/>
      <c r="J5" s="77"/>
      <c r="K5" s="77"/>
      <c r="L5" s="73"/>
      <c r="M5" s="73"/>
      <c r="N5" s="73"/>
      <c r="O5" s="73"/>
      <c r="P5" s="73"/>
      <c r="Q5" s="73"/>
      <c r="R5" s="73"/>
      <c r="S5" s="73"/>
      <c r="T5" s="73"/>
      <c r="U5" s="75"/>
      <c r="V5" s="1">
        <f t="shared" ref="V5:V13" si="22">SUM(B5,D5,F5,H5,J5,L5,N5,P5,R5,T5)</f>
        <v>0</v>
      </c>
      <c r="W5">
        <f t="shared" ref="W5:W13" si="23">-1*SUM(C5,E5,G5,I5,K5,M5,O5,Q5,S5,U5)</f>
        <v>0</v>
      </c>
      <c r="X5">
        <f t="shared" ref="X5:X13" si="24">(
IF(OR(B5&gt;=11,C5&gt;=11),B5,0) +
IF(OR(D5&gt;=11,E5&gt;=11),D5,0) +
IF(OR(F5&gt;=11,G5&gt;=11),F5,0) +
IF(OR(H5&gt;=11,I5&gt;=11),H5,0) +
IF(OR(J5&gt;=11,K5&gt;=11),J5,0) +
IF(OR(L5&gt;=11,M5&gt;=11),L5,0) +
IF(OR(N5&gt;=11,O5&gt;=11),N5,0) +
IF(OR(P5&gt;=11,Q5&gt;=11),P5,0) +
IF(OR(R5&gt;=11,S5&gt;=11),R5,0) +
IF(OR(T5&gt;=11,U5&gt;=11),T5,0) )</f>
        <v>0</v>
      </c>
      <c r="Y5">
        <f t="shared" ref="Y5:Y13" si="25">-1*(
IF(OR(B5&gt;=11,C5&gt;=11),C5,0) +
IF(OR(D5&gt;=11,E5&gt;=11),E5,0) +
IF(OR(F5&gt;=11,G5&gt;=11),G5,0) +
IF(OR(H5&gt;=11,I5&gt;=11),I5,0) +
IF(OR(J5&gt;=11,K5&gt;=11),K5,0) +
IF(OR(L5&gt;=11,M5&gt;=11),M5,0) +
IF(OR(N5&gt;=11,O5&gt;=11),O5,0) +
IF(OR(P5&gt;=11,Q5&gt;=11),Q5,0) +
IF(OR(R5&gt;=11,S5&gt;=11),S5,0) +
IF(OR(T5&gt;=11,U5&gt;=11),U5,0)
)</f>
        <v>0</v>
      </c>
      <c r="Z5">
        <f t="shared" ref="Z5:Z13" si="26" xml:space="preserve">
IF(C5&gt;=11,1,0)+
IF(E5&gt;=11,1,0)+
IF(G5&gt;=11,1,0)+
IF(I5&gt;=11,1,0)+
IF(K5&gt;=11,1,0)+
IF(M5&gt;=11,1,0)+
IF(O5&gt;=11,1,0)+
IF(Q5&gt;=11,1,0)+
IF(S5&gt;=11,1,0)+
IF(U5&gt;=11,1,0)</f>
        <v>0</v>
      </c>
      <c r="AA5" s="69">
        <f t="shared" ref="AA5:AA13" si="27" xml:space="preserve">
IF(B5&gt;=11,1,0)+
IF(D5&gt;=11,1,0)+
IF(F5&gt;=11,1,0)+
IF(H5&gt;=11,1,0)+
IF(J5&gt;=11,1,0)+
IF(L5&gt;=11,1,0)+
IF(N5&gt;=11,1,0)+
IF(P5&gt;=11,1,0)+
IF(R5&gt;=11,1,0)+
IF(T5&gt;=11,1,0)</f>
        <v>0</v>
      </c>
      <c r="AB5" s="1">
        <f>Z5+D$16</f>
        <v>0</v>
      </c>
      <c r="AC5">
        <f>AA5+E$16</f>
        <v>0</v>
      </c>
      <c r="AD5">
        <f>V5+E$14</f>
        <v>0</v>
      </c>
      <c r="AE5">
        <f>W5+D$14</f>
        <v>0</v>
      </c>
      <c r="AF5">
        <f>X5+E$15</f>
        <v>0</v>
      </c>
      <c r="AG5">
        <f>Y5+D$15</f>
        <v>0</v>
      </c>
      <c r="AH5">
        <f t="shared" si="0"/>
        <v>0</v>
      </c>
      <c r="AI5" s="69">
        <f t="shared" ref="AI5:AI13" si="28">AF5+AG5</f>
        <v>0</v>
      </c>
      <c r="AJ5">
        <f t="shared" si="1"/>
        <v>0</v>
      </c>
      <c r="AK5">
        <f t="shared" si="2"/>
        <v>0</v>
      </c>
      <c r="AL5">
        <f t="shared" si="3"/>
        <v>0</v>
      </c>
      <c r="AM5">
        <f t="shared" si="4"/>
        <v>0</v>
      </c>
      <c r="AN5">
        <f t="shared" si="5"/>
        <v>0</v>
      </c>
      <c r="AO5">
        <f t="shared" si="6"/>
        <v>0</v>
      </c>
      <c r="AP5">
        <f t="shared" si="7"/>
        <v>0</v>
      </c>
      <c r="AQ5">
        <f t="shared" si="8"/>
        <v>0</v>
      </c>
      <c r="AR5">
        <f t="shared" si="9"/>
        <v>0</v>
      </c>
      <c r="AS5">
        <f t="shared" si="10"/>
        <v>0</v>
      </c>
      <c r="AT5">
        <f t="shared" ref="AT5:AT13" si="29">SUM(AJ5:AS5)</f>
        <v>0</v>
      </c>
      <c r="AU5">
        <f t="shared" si="11"/>
        <v>0</v>
      </c>
      <c r="AV5">
        <f t="shared" si="12"/>
        <v>0</v>
      </c>
      <c r="AW5">
        <f t="shared" si="13"/>
        <v>0</v>
      </c>
      <c r="AX5">
        <f t="shared" si="14"/>
        <v>0</v>
      </c>
      <c r="AY5">
        <f t="shared" si="15"/>
        <v>0</v>
      </c>
      <c r="AZ5">
        <f t="shared" si="16"/>
        <v>0</v>
      </c>
      <c r="BA5">
        <f t="shared" si="17"/>
        <v>0</v>
      </c>
      <c r="BB5">
        <f t="shared" si="18"/>
        <v>0</v>
      </c>
      <c r="BC5">
        <f t="shared" si="19"/>
        <v>0</v>
      </c>
      <c r="BD5">
        <f t="shared" si="20"/>
        <v>0</v>
      </c>
      <c r="BE5">
        <f t="shared" si="21"/>
        <v>0</v>
      </c>
    </row>
    <row r="6" spans="1:57" x14ac:dyDescent="0.35">
      <c r="A6" s="33" t="str">
        <f>IF(Player3="","",Player3)</f>
        <v>Michael the pariah</v>
      </c>
      <c r="B6" s="74"/>
      <c r="C6" s="74"/>
      <c r="D6" s="74"/>
      <c r="E6" s="74"/>
      <c r="F6" s="76"/>
      <c r="G6" s="76"/>
      <c r="H6" s="73"/>
      <c r="I6" s="73"/>
      <c r="J6" s="73"/>
      <c r="K6" s="73"/>
      <c r="L6" s="73"/>
      <c r="M6" s="73"/>
      <c r="N6" s="73"/>
      <c r="O6" s="73"/>
      <c r="P6" s="73"/>
      <c r="Q6" s="73"/>
      <c r="R6" s="73"/>
      <c r="S6" s="73"/>
      <c r="T6" s="73"/>
      <c r="U6" s="75"/>
      <c r="V6" s="1">
        <f t="shared" si="22"/>
        <v>0</v>
      </c>
      <c r="W6">
        <f t="shared" si="23"/>
        <v>0</v>
      </c>
      <c r="X6">
        <f t="shared" si="24"/>
        <v>0</v>
      </c>
      <c r="Y6">
        <f t="shared" si="25"/>
        <v>0</v>
      </c>
      <c r="Z6">
        <f t="shared" si="26"/>
        <v>0</v>
      </c>
      <c r="AA6" s="69">
        <f t="shared" si="27"/>
        <v>0</v>
      </c>
      <c r="AB6" s="1">
        <f>Z6+F$16</f>
        <v>0</v>
      </c>
      <c r="AC6">
        <f>AA6+G$16</f>
        <v>0</v>
      </c>
      <c r="AD6">
        <f>V6+G14</f>
        <v>0</v>
      </c>
      <c r="AE6">
        <f>W6+F14</f>
        <v>0</v>
      </c>
      <c r="AF6">
        <f>X6+G$15</f>
        <v>0</v>
      </c>
      <c r="AG6">
        <f>Y6+F$15</f>
        <v>0</v>
      </c>
      <c r="AH6">
        <f t="shared" si="0"/>
        <v>0</v>
      </c>
      <c r="AI6" s="69">
        <f t="shared" si="28"/>
        <v>0</v>
      </c>
      <c r="AJ6">
        <f t="shared" si="1"/>
        <v>0</v>
      </c>
      <c r="AK6">
        <f t="shared" si="2"/>
        <v>0</v>
      </c>
      <c r="AL6">
        <f t="shared" si="3"/>
        <v>0</v>
      </c>
      <c r="AM6">
        <f t="shared" si="4"/>
        <v>0</v>
      </c>
      <c r="AN6">
        <f t="shared" si="5"/>
        <v>0</v>
      </c>
      <c r="AO6">
        <f t="shared" si="6"/>
        <v>0</v>
      </c>
      <c r="AP6">
        <f t="shared" si="7"/>
        <v>0</v>
      </c>
      <c r="AQ6">
        <f t="shared" si="8"/>
        <v>0</v>
      </c>
      <c r="AR6">
        <f t="shared" si="9"/>
        <v>0</v>
      </c>
      <c r="AS6">
        <f t="shared" si="10"/>
        <v>0</v>
      </c>
      <c r="AT6">
        <f t="shared" si="29"/>
        <v>0</v>
      </c>
      <c r="AU6">
        <f t="shared" si="11"/>
        <v>0</v>
      </c>
      <c r="AV6">
        <f t="shared" si="12"/>
        <v>0</v>
      </c>
      <c r="AW6">
        <f t="shared" si="13"/>
        <v>0</v>
      </c>
      <c r="AX6">
        <f t="shared" si="14"/>
        <v>0</v>
      </c>
      <c r="AY6">
        <f t="shared" si="15"/>
        <v>0</v>
      </c>
      <c r="AZ6">
        <f t="shared" si="16"/>
        <v>0</v>
      </c>
      <c r="BA6">
        <f t="shared" si="17"/>
        <v>0</v>
      </c>
      <c r="BB6">
        <f t="shared" si="18"/>
        <v>0</v>
      </c>
      <c r="BC6">
        <f t="shared" si="19"/>
        <v>0</v>
      </c>
      <c r="BD6">
        <f t="shared" si="20"/>
        <v>0</v>
      </c>
      <c r="BE6">
        <f t="shared" si="21"/>
        <v>0</v>
      </c>
    </row>
    <row r="7" spans="1:57" x14ac:dyDescent="0.35">
      <c r="A7" s="33" t="str">
        <f>IF(Player4="","",Player4)</f>
        <v>MungoMH</v>
      </c>
      <c r="B7" s="73"/>
      <c r="C7" s="73"/>
      <c r="D7" s="73"/>
      <c r="E7" s="73"/>
      <c r="F7" s="73"/>
      <c r="G7" s="73"/>
      <c r="H7" s="76"/>
      <c r="I7" s="76"/>
      <c r="J7" s="73"/>
      <c r="K7" s="73"/>
      <c r="L7" s="73"/>
      <c r="M7" s="73"/>
      <c r="N7" s="73"/>
      <c r="O7" s="73"/>
      <c r="P7" s="73"/>
      <c r="Q7" s="73"/>
      <c r="R7" s="73"/>
      <c r="S7" s="73"/>
      <c r="T7" s="73"/>
      <c r="U7" s="75"/>
      <c r="V7" s="1">
        <f t="shared" si="22"/>
        <v>0</v>
      </c>
      <c r="W7">
        <f t="shared" si="23"/>
        <v>0</v>
      </c>
      <c r="X7">
        <f t="shared" si="24"/>
        <v>0</v>
      </c>
      <c r="Y7">
        <f t="shared" si="25"/>
        <v>0</v>
      </c>
      <c r="Z7">
        <f t="shared" si="26"/>
        <v>0</v>
      </c>
      <c r="AA7" s="69">
        <f t="shared" si="27"/>
        <v>0</v>
      </c>
      <c r="AB7" s="1">
        <f>Z7+H$16</f>
        <v>0</v>
      </c>
      <c r="AC7">
        <f>AA7+I$16</f>
        <v>0</v>
      </c>
      <c r="AD7">
        <f>V7+I$14</f>
        <v>0</v>
      </c>
      <c r="AE7">
        <f>W7+H$14</f>
        <v>0</v>
      </c>
      <c r="AF7">
        <f>X7+I$15</f>
        <v>0</v>
      </c>
      <c r="AG7">
        <f>Y7+H$15</f>
        <v>0</v>
      </c>
      <c r="AH7">
        <f t="shared" si="0"/>
        <v>0</v>
      </c>
      <c r="AI7" s="69">
        <f t="shared" si="28"/>
        <v>0</v>
      </c>
      <c r="AJ7">
        <f t="shared" si="1"/>
        <v>0</v>
      </c>
      <c r="AK7">
        <f t="shared" si="2"/>
        <v>0</v>
      </c>
      <c r="AL7">
        <f t="shared" si="3"/>
        <v>0</v>
      </c>
      <c r="AM7">
        <f t="shared" si="4"/>
        <v>0</v>
      </c>
      <c r="AN7">
        <f t="shared" si="5"/>
        <v>0</v>
      </c>
      <c r="AO7">
        <f t="shared" si="6"/>
        <v>0</v>
      </c>
      <c r="AP7">
        <f t="shared" si="7"/>
        <v>0</v>
      </c>
      <c r="AQ7">
        <f t="shared" si="8"/>
        <v>0</v>
      </c>
      <c r="AR7">
        <f t="shared" si="9"/>
        <v>0</v>
      </c>
      <c r="AS7">
        <f t="shared" si="10"/>
        <v>0</v>
      </c>
      <c r="AT7">
        <f t="shared" si="29"/>
        <v>0</v>
      </c>
      <c r="AU7">
        <f t="shared" si="11"/>
        <v>0</v>
      </c>
      <c r="AV7">
        <f t="shared" si="12"/>
        <v>0</v>
      </c>
      <c r="AW7">
        <f t="shared" si="13"/>
        <v>0</v>
      </c>
      <c r="AX7">
        <f t="shared" si="14"/>
        <v>0</v>
      </c>
      <c r="AY7">
        <f t="shared" si="15"/>
        <v>0</v>
      </c>
      <c r="AZ7">
        <f t="shared" si="16"/>
        <v>0</v>
      </c>
      <c r="BA7">
        <f t="shared" si="17"/>
        <v>0</v>
      </c>
      <c r="BB7">
        <f t="shared" si="18"/>
        <v>0</v>
      </c>
      <c r="BC7">
        <f t="shared" si="19"/>
        <v>0</v>
      </c>
      <c r="BD7">
        <f t="shared" si="20"/>
        <v>0</v>
      </c>
      <c r="BE7">
        <f t="shared" si="21"/>
        <v>0</v>
      </c>
    </row>
    <row r="8" spans="1:57" x14ac:dyDescent="0.35">
      <c r="A8" s="33" t="str">
        <f>IF(Player5="","",Player5)</f>
        <v>neptun</v>
      </c>
      <c r="B8" s="73"/>
      <c r="C8" s="73"/>
      <c r="D8" s="76"/>
      <c r="E8" s="76"/>
      <c r="F8" s="73"/>
      <c r="G8" s="73"/>
      <c r="H8" s="76"/>
      <c r="I8" s="76"/>
      <c r="J8" s="76"/>
      <c r="K8" s="76"/>
      <c r="L8" s="76"/>
      <c r="M8" s="76"/>
      <c r="N8" s="73"/>
      <c r="O8" s="73"/>
      <c r="P8" s="73"/>
      <c r="Q8" s="73"/>
      <c r="R8" s="73"/>
      <c r="S8" s="73"/>
      <c r="T8" s="73"/>
      <c r="U8" s="75"/>
      <c r="V8" s="1">
        <f t="shared" si="22"/>
        <v>0</v>
      </c>
      <c r="W8">
        <f t="shared" si="23"/>
        <v>0</v>
      </c>
      <c r="X8">
        <f t="shared" si="24"/>
        <v>0</v>
      </c>
      <c r="Y8">
        <f t="shared" si="25"/>
        <v>0</v>
      </c>
      <c r="Z8">
        <f t="shared" si="26"/>
        <v>0</v>
      </c>
      <c r="AA8" s="69">
        <f t="shared" si="27"/>
        <v>0</v>
      </c>
      <c r="AB8" s="1">
        <f>Z8+J$16</f>
        <v>0</v>
      </c>
      <c r="AC8">
        <f>AA8+K$16</f>
        <v>0</v>
      </c>
      <c r="AD8">
        <f>V8+K$14</f>
        <v>0</v>
      </c>
      <c r="AE8">
        <f>W8+J$14</f>
        <v>0</v>
      </c>
      <c r="AF8">
        <f>X8+K$15</f>
        <v>0</v>
      </c>
      <c r="AG8">
        <f>Y8+J$15</f>
        <v>0</v>
      </c>
      <c r="AH8">
        <f t="shared" si="0"/>
        <v>0</v>
      </c>
      <c r="AI8" s="69">
        <f t="shared" si="28"/>
        <v>0</v>
      </c>
      <c r="AJ8">
        <f t="shared" si="1"/>
        <v>0</v>
      </c>
      <c r="AK8">
        <f t="shared" si="2"/>
        <v>0</v>
      </c>
      <c r="AL8">
        <f t="shared" si="3"/>
        <v>0</v>
      </c>
      <c r="AM8">
        <f t="shared" si="4"/>
        <v>0</v>
      </c>
      <c r="AN8">
        <f t="shared" si="5"/>
        <v>0</v>
      </c>
      <c r="AO8">
        <f t="shared" si="6"/>
        <v>0</v>
      </c>
      <c r="AP8">
        <f t="shared" si="7"/>
        <v>0</v>
      </c>
      <c r="AQ8">
        <f t="shared" si="8"/>
        <v>0</v>
      </c>
      <c r="AR8">
        <f t="shared" si="9"/>
        <v>0</v>
      </c>
      <c r="AS8">
        <f t="shared" si="10"/>
        <v>0</v>
      </c>
      <c r="AT8">
        <f t="shared" si="29"/>
        <v>0</v>
      </c>
      <c r="AU8">
        <f t="shared" si="11"/>
        <v>0</v>
      </c>
      <c r="AV8">
        <f t="shared" si="12"/>
        <v>0</v>
      </c>
      <c r="AW8">
        <f t="shared" si="13"/>
        <v>0</v>
      </c>
      <c r="AX8">
        <f t="shared" si="14"/>
        <v>0</v>
      </c>
      <c r="AY8">
        <f t="shared" si="15"/>
        <v>0</v>
      </c>
      <c r="AZ8">
        <f t="shared" si="16"/>
        <v>0</v>
      </c>
      <c r="BA8">
        <f t="shared" si="17"/>
        <v>0</v>
      </c>
      <c r="BB8">
        <f t="shared" si="18"/>
        <v>0</v>
      </c>
      <c r="BC8">
        <f t="shared" si="19"/>
        <v>0</v>
      </c>
      <c r="BD8">
        <f t="shared" si="20"/>
        <v>0</v>
      </c>
      <c r="BE8">
        <f t="shared" si="21"/>
        <v>0</v>
      </c>
    </row>
    <row r="9" spans="1:57" x14ac:dyDescent="0.35">
      <c r="A9" s="33" t="str">
        <f>IF(Player6="","",Player6)</f>
        <v>oldehippy</v>
      </c>
      <c r="B9" s="73"/>
      <c r="C9" s="73"/>
      <c r="D9" s="73"/>
      <c r="E9" s="73"/>
      <c r="F9" s="73"/>
      <c r="G9" s="73"/>
      <c r="H9" s="73"/>
      <c r="I9" s="73"/>
      <c r="J9" s="73"/>
      <c r="K9" s="73"/>
      <c r="L9" s="76"/>
      <c r="M9" s="76"/>
      <c r="N9" s="73"/>
      <c r="O9" s="73"/>
      <c r="P9" s="73"/>
      <c r="Q9" s="73"/>
      <c r="R9" s="73"/>
      <c r="S9" s="73"/>
      <c r="T9" s="73"/>
      <c r="U9" s="75"/>
      <c r="V9" s="1">
        <f t="shared" si="22"/>
        <v>0</v>
      </c>
      <c r="W9">
        <f t="shared" si="23"/>
        <v>0</v>
      </c>
      <c r="X9">
        <f t="shared" si="24"/>
        <v>0</v>
      </c>
      <c r="Y9">
        <f t="shared" si="25"/>
        <v>0</v>
      </c>
      <c r="Z9">
        <f t="shared" si="26"/>
        <v>0</v>
      </c>
      <c r="AA9" s="69">
        <f t="shared" si="27"/>
        <v>0</v>
      </c>
      <c r="AB9" s="1">
        <f>Z9+L$16</f>
        <v>0</v>
      </c>
      <c r="AC9">
        <f>AA9+M$16</f>
        <v>0</v>
      </c>
      <c r="AD9">
        <f>V9+M$14</f>
        <v>0</v>
      </c>
      <c r="AE9">
        <f>W9+L$14</f>
        <v>0</v>
      </c>
      <c r="AF9">
        <f>X9+M$15</f>
        <v>0</v>
      </c>
      <c r="AG9">
        <f>Y9+L$15</f>
        <v>0</v>
      </c>
      <c r="AH9">
        <f t="shared" si="0"/>
        <v>0</v>
      </c>
      <c r="AI9" s="69">
        <f t="shared" si="28"/>
        <v>0</v>
      </c>
      <c r="AJ9">
        <f t="shared" si="1"/>
        <v>0</v>
      </c>
      <c r="AK9">
        <f t="shared" si="2"/>
        <v>0</v>
      </c>
      <c r="AL9">
        <f t="shared" si="3"/>
        <v>0</v>
      </c>
      <c r="AM9">
        <f t="shared" si="4"/>
        <v>0</v>
      </c>
      <c r="AN9">
        <f t="shared" si="5"/>
        <v>0</v>
      </c>
      <c r="AO9">
        <f t="shared" si="6"/>
        <v>0</v>
      </c>
      <c r="AP9">
        <f t="shared" si="7"/>
        <v>0</v>
      </c>
      <c r="AQ9">
        <f t="shared" si="8"/>
        <v>0</v>
      </c>
      <c r="AR9">
        <f t="shared" si="9"/>
        <v>0</v>
      </c>
      <c r="AS9">
        <f t="shared" si="10"/>
        <v>0</v>
      </c>
      <c r="AT9">
        <f t="shared" si="29"/>
        <v>0</v>
      </c>
      <c r="AU9">
        <f t="shared" si="11"/>
        <v>0</v>
      </c>
      <c r="AV9">
        <f t="shared" si="12"/>
        <v>0</v>
      </c>
      <c r="AW9">
        <f t="shared" si="13"/>
        <v>0</v>
      </c>
      <c r="AX9">
        <f t="shared" si="14"/>
        <v>0</v>
      </c>
      <c r="AY9">
        <f t="shared" si="15"/>
        <v>0</v>
      </c>
      <c r="AZ9">
        <f t="shared" si="16"/>
        <v>0</v>
      </c>
      <c r="BA9">
        <f t="shared" si="17"/>
        <v>0</v>
      </c>
      <c r="BB9">
        <f t="shared" si="18"/>
        <v>0</v>
      </c>
      <c r="BC9">
        <f t="shared" si="19"/>
        <v>0</v>
      </c>
      <c r="BD9">
        <f t="shared" si="20"/>
        <v>0</v>
      </c>
      <c r="BE9">
        <f t="shared" si="21"/>
        <v>0</v>
      </c>
    </row>
    <row r="10" spans="1:57" x14ac:dyDescent="0.35">
      <c r="A10" s="33" t="str">
        <f>IF(Player7="","",Player7)</f>
        <v>silvercilla</v>
      </c>
      <c r="B10" s="73"/>
      <c r="C10" s="73"/>
      <c r="D10" s="73"/>
      <c r="E10" s="73"/>
      <c r="F10" s="73"/>
      <c r="G10" s="73"/>
      <c r="H10" s="73"/>
      <c r="I10" s="73"/>
      <c r="J10" s="73"/>
      <c r="K10" s="73"/>
      <c r="L10" s="73"/>
      <c r="M10" s="73"/>
      <c r="N10" s="76"/>
      <c r="O10" s="76"/>
      <c r="P10" s="73"/>
      <c r="Q10" s="73"/>
      <c r="R10" s="73"/>
      <c r="S10" s="73"/>
      <c r="T10" s="73"/>
      <c r="U10" s="75"/>
      <c r="V10" s="1">
        <f t="shared" si="22"/>
        <v>0</v>
      </c>
      <c r="W10">
        <f t="shared" si="23"/>
        <v>0</v>
      </c>
      <c r="X10">
        <f t="shared" si="24"/>
        <v>0</v>
      </c>
      <c r="Y10">
        <f t="shared" si="25"/>
        <v>0</v>
      </c>
      <c r="Z10">
        <f t="shared" si="26"/>
        <v>0</v>
      </c>
      <c r="AA10" s="69">
        <f t="shared" si="27"/>
        <v>0</v>
      </c>
      <c r="AB10" s="1">
        <f>Z10+N$16</f>
        <v>0</v>
      </c>
      <c r="AC10">
        <f>AA10+O$16</f>
        <v>0</v>
      </c>
      <c r="AD10">
        <f>V10+O$14</f>
        <v>0</v>
      </c>
      <c r="AE10">
        <f>W10+N$14</f>
        <v>0</v>
      </c>
      <c r="AF10">
        <f>X10+O$15</f>
        <v>0</v>
      </c>
      <c r="AG10">
        <f>Y10+N$15</f>
        <v>0</v>
      </c>
      <c r="AH10">
        <f t="shared" si="0"/>
        <v>0</v>
      </c>
      <c r="AI10" s="69">
        <f t="shared" si="28"/>
        <v>0</v>
      </c>
      <c r="AJ10">
        <f t="shared" si="1"/>
        <v>0</v>
      </c>
      <c r="AK10">
        <f t="shared" si="2"/>
        <v>0</v>
      </c>
      <c r="AL10">
        <f t="shared" si="3"/>
        <v>0</v>
      </c>
      <c r="AM10">
        <f t="shared" si="4"/>
        <v>0</v>
      </c>
      <c r="AN10">
        <f t="shared" si="5"/>
        <v>0</v>
      </c>
      <c r="AO10">
        <f t="shared" si="6"/>
        <v>0</v>
      </c>
      <c r="AP10">
        <f t="shared" si="7"/>
        <v>0</v>
      </c>
      <c r="AQ10">
        <f t="shared" si="8"/>
        <v>0</v>
      </c>
      <c r="AR10">
        <f t="shared" si="9"/>
        <v>0</v>
      </c>
      <c r="AS10">
        <f t="shared" si="10"/>
        <v>0</v>
      </c>
      <c r="AT10">
        <f t="shared" si="29"/>
        <v>0</v>
      </c>
      <c r="AU10">
        <f t="shared" si="11"/>
        <v>0</v>
      </c>
      <c r="AV10">
        <f t="shared" si="12"/>
        <v>0</v>
      </c>
      <c r="AW10">
        <f t="shared" si="13"/>
        <v>0</v>
      </c>
      <c r="AX10">
        <f t="shared" si="14"/>
        <v>0</v>
      </c>
      <c r="AY10">
        <f t="shared" si="15"/>
        <v>0</v>
      </c>
      <c r="AZ10">
        <f t="shared" si="16"/>
        <v>0</v>
      </c>
      <c r="BA10">
        <f t="shared" si="17"/>
        <v>0</v>
      </c>
      <c r="BB10">
        <f t="shared" si="18"/>
        <v>0</v>
      </c>
      <c r="BC10">
        <f t="shared" si="19"/>
        <v>0</v>
      </c>
      <c r="BD10">
        <f t="shared" si="20"/>
        <v>0</v>
      </c>
      <c r="BE10">
        <f t="shared" si="21"/>
        <v>0</v>
      </c>
    </row>
    <row r="11" spans="1:57" x14ac:dyDescent="0.35">
      <c r="A11" s="33" t="str">
        <f>IF(Player8="","",Player8)</f>
        <v>T.J.</v>
      </c>
      <c r="B11" s="73"/>
      <c r="C11" s="73"/>
      <c r="D11" s="73"/>
      <c r="E11" s="73"/>
      <c r="F11" s="74"/>
      <c r="G11" s="74"/>
      <c r="H11" s="73"/>
      <c r="I11" s="73"/>
      <c r="J11" s="73"/>
      <c r="K11" s="73"/>
      <c r="L11" s="73"/>
      <c r="M11" s="73"/>
      <c r="N11" s="73"/>
      <c r="O11" s="73"/>
      <c r="P11" s="78"/>
      <c r="Q11" s="78"/>
      <c r="R11" s="73"/>
      <c r="S11" s="73"/>
      <c r="T11" s="73"/>
      <c r="U11" s="75"/>
      <c r="V11" s="1">
        <f t="shared" si="22"/>
        <v>0</v>
      </c>
      <c r="W11">
        <f t="shared" si="23"/>
        <v>0</v>
      </c>
      <c r="X11">
        <f t="shared" si="24"/>
        <v>0</v>
      </c>
      <c r="Y11">
        <f t="shared" si="25"/>
        <v>0</v>
      </c>
      <c r="Z11">
        <f t="shared" si="26"/>
        <v>0</v>
      </c>
      <c r="AA11" s="69">
        <f t="shared" si="27"/>
        <v>0</v>
      </c>
      <c r="AB11" s="1">
        <f>Z11+P$16</f>
        <v>0</v>
      </c>
      <c r="AC11">
        <f>AA11+Q$16</f>
        <v>0</v>
      </c>
      <c r="AD11">
        <f>V11+Q$14</f>
        <v>0</v>
      </c>
      <c r="AE11">
        <f>W11+P$14</f>
        <v>0</v>
      </c>
      <c r="AF11">
        <f>X11+Q$15</f>
        <v>0</v>
      </c>
      <c r="AG11">
        <f>Y11+P$15</f>
        <v>0</v>
      </c>
      <c r="AH11">
        <f t="shared" si="0"/>
        <v>0</v>
      </c>
      <c r="AI11" s="69">
        <f t="shared" si="28"/>
        <v>0</v>
      </c>
      <c r="AJ11">
        <f t="shared" si="1"/>
        <v>0</v>
      </c>
      <c r="AK11">
        <f t="shared" si="2"/>
        <v>0</v>
      </c>
      <c r="AL11">
        <f t="shared" si="3"/>
        <v>0</v>
      </c>
      <c r="AM11">
        <f t="shared" si="4"/>
        <v>0</v>
      </c>
      <c r="AN11">
        <f t="shared" si="5"/>
        <v>0</v>
      </c>
      <c r="AO11">
        <f t="shared" si="6"/>
        <v>0</v>
      </c>
      <c r="AP11">
        <f t="shared" si="7"/>
        <v>0</v>
      </c>
      <c r="AQ11">
        <f t="shared" si="8"/>
        <v>0</v>
      </c>
      <c r="AR11">
        <f t="shared" si="9"/>
        <v>0</v>
      </c>
      <c r="AS11">
        <f t="shared" si="10"/>
        <v>0</v>
      </c>
      <c r="AT11">
        <f t="shared" si="29"/>
        <v>0</v>
      </c>
      <c r="AU11">
        <f t="shared" si="11"/>
        <v>0</v>
      </c>
      <c r="AV11">
        <f t="shared" si="12"/>
        <v>0</v>
      </c>
      <c r="AW11">
        <f t="shared" si="13"/>
        <v>0</v>
      </c>
      <c r="AX11">
        <f t="shared" si="14"/>
        <v>0</v>
      </c>
      <c r="AY11">
        <f t="shared" si="15"/>
        <v>0</v>
      </c>
      <c r="AZ11">
        <f t="shared" si="16"/>
        <v>0</v>
      </c>
      <c r="BA11">
        <f t="shared" si="17"/>
        <v>0</v>
      </c>
      <c r="BB11">
        <f t="shared" si="18"/>
        <v>0</v>
      </c>
      <c r="BC11">
        <f t="shared" si="19"/>
        <v>0</v>
      </c>
      <c r="BD11">
        <f t="shared" si="20"/>
        <v>0</v>
      </c>
      <c r="BE11">
        <f t="shared" si="21"/>
        <v>0</v>
      </c>
    </row>
    <row r="12" spans="1:57" x14ac:dyDescent="0.35">
      <c r="A12" s="33" t="str">
        <f>IF(Player9="","",Player9)</f>
        <v>Yolandaine</v>
      </c>
      <c r="B12" s="73"/>
      <c r="C12" s="73"/>
      <c r="D12" s="73"/>
      <c r="E12" s="73"/>
      <c r="F12" s="73"/>
      <c r="G12" s="73"/>
      <c r="H12" s="73"/>
      <c r="I12" s="73"/>
      <c r="J12" s="73"/>
      <c r="K12" s="73"/>
      <c r="L12" s="73"/>
      <c r="M12" s="73"/>
      <c r="N12" s="73"/>
      <c r="O12" s="73"/>
      <c r="P12" s="73"/>
      <c r="Q12" s="73"/>
      <c r="R12" s="78"/>
      <c r="S12" s="78"/>
      <c r="T12" s="73"/>
      <c r="U12" s="75"/>
      <c r="V12" s="1">
        <f t="shared" si="22"/>
        <v>0</v>
      </c>
      <c r="W12">
        <f t="shared" si="23"/>
        <v>0</v>
      </c>
      <c r="X12">
        <f t="shared" si="24"/>
        <v>0</v>
      </c>
      <c r="Y12">
        <f t="shared" si="25"/>
        <v>0</v>
      </c>
      <c r="Z12">
        <f t="shared" si="26"/>
        <v>0</v>
      </c>
      <c r="AA12" s="69">
        <f t="shared" si="27"/>
        <v>0</v>
      </c>
      <c r="AB12" s="1">
        <f>Z12+R$16</f>
        <v>0</v>
      </c>
      <c r="AC12">
        <f>AA12+S$16</f>
        <v>0</v>
      </c>
      <c r="AD12">
        <f>V12+S$14</f>
        <v>0</v>
      </c>
      <c r="AE12">
        <f>W12+R$14</f>
        <v>0</v>
      </c>
      <c r="AF12">
        <f>X12+S$15</f>
        <v>0</v>
      </c>
      <c r="AG12">
        <f>Y12+R$15</f>
        <v>0</v>
      </c>
      <c r="AH12">
        <f t="shared" ref="AH12" si="30">AD12+AE12</f>
        <v>0</v>
      </c>
      <c r="AI12" s="69">
        <f t="shared" ref="AI12" si="31">AF12+AG12</f>
        <v>0</v>
      </c>
      <c r="AJ12">
        <f t="shared" si="1"/>
        <v>0</v>
      </c>
      <c r="AK12">
        <f t="shared" si="2"/>
        <v>0</v>
      </c>
      <c r="AL12">
        <f t="shared" si="3"/>
        <v>0</v>
      </c>
      <c r="AM12">
        <f t="shared" si="4"/>
        <v>0</v>
      </c>
      <c r="AN12">
        <f t="shared" si="5"/>
        <v>0</v>
      </c>
      <c r="AO12">
        <f t="shared" si="6"/>
        <v>0</v>
      </c>
      <c r="AP12">
        <f t="shared" si="7"/>
        <v>0</v>
      </c>
      <c r="AQ12">
        <f t="shared" si="8"/>
        <v>0</v>
      </c>
      <c r="AR12">
        <f t="shared" si="9"/>
        <v>0</v>
      </c>
      <c r="AS12">
        <f t="shared" si="10"/>
        <v>0</v>
      </c>
      <c r="AT12">
        <f t="shared" si="29"/>
        <v>0</v>
      </c>
      <c r="AU12">
        <f t="shared" si="11"/>
        <v>0</v>
      </c>
      <c r="AV12">
        <f t="shared" si="12"/>
        <v>0</v>
      </c>
      <c r="AW12">
        <f t="shared" si="13"/>
        <v>0</v>
      </c>
      <c r="AX12">
        <f t="shared" si="14"/>
        <v>0</v>
      </c>
      <c r="AY12">
        <f t="shared" si="15"/>
        <v>0</v>
      </c>
      <c r="AZ12">
        <f t="shared" si="16"/>
        <v>0</v>
      </c>
      <c r="BA12">
        <f t="shared" si="17"/>
        <v>0</v>
      </c>
      <c r="BB12">
        <f t="shared" si="18"/>
        <v>0</v>
      </c>
      <c r="BC12">
        <f t="shared" si="19"/>
        <v>0</v>
      </c>
      <c r="BD12">
        <f t="shared" si="20"/>
        <v>0</v>
      </c>
      <c r="BE12">
        <f t="shared" si="21"/>
        <v>0</v>
      </c>
    </row>
    <row r="13" spans="1:57" x14ac:dyDescent="0.35">
      <c r="A13" s="34" t="str">
        <f>IF(Player10="","",Player10)</f>
        <v/>
      </c>
      <c r="B13" s="79"/>
      <c r="C13" s="79"/>
      <c r="D13" s="79"/>
      <c r="E13" s="79"/>
      <c r="F13" s="79"/>
      <c r="G13" s="79"/>
      <c r="H13" s="79"/>
      <c r="I13" s="79"/>
      <c r="J13" s="79"/>
      <c r="K13" s="79"/>
      <c r="L13" s="79"/>
      <c r="M13" s="79"/>
      <c r="N13" s="79"/>
      <c r="O13" s="79"/>
      <c r="P13" s="79"/>
      <c r="Q13" s="79"/>
      <c r="R13" s="79"/>
      <c r="S13" s="79"/>
      <c r="T13" s="80"/>
      <c r="U13" s="81"/>
      <c r="V13" s="1">
        <f t="shared" si="22"/>
        <v>0</v>
      </c>
      <c r="W13">
        <f t="shared" si="23"/>
        <v>0</v>
      </c>
      <c r="X13">
        <f t="shared" si="24"/>
        <v>0</v>
      </c>
      <c r="Y13">
        <f t="shared" si="25"/>
        <v>0</v>
      </c>
      <c r="Z13">
        <f t="shared" si="26"/>
        <v>0</v>
      </c>
      <c r="AA13" s="69">
        <f t="shared" si="27"/>
        <v>0</v>
      </c>
      <c r="AB13" s="1">
        <f>Z13+T$16</f>
        <v>0</v>
      </c>
      <c r="AC13">
        <f>AA13+U$16</f>
        <v>0</v>
      </c>
      <c r="AD13">
        <f>V13+U$14</f>
        <v>0</v>
      </c>
      <c r="AE13">
        <f>W13+T$14</f>
        <v>0</v>
      </c>
      <c r="AF13">
        <f>X13+U$15</f>
        <v>0</v>
      </c>
      <c r="AG13">
        <f>Y13+T$15</f>
        <v>0</v>
      </c>
      <c r="AH13">
        <f t="shared" si="0"/>
        <v>0</v>
      </c>
      <c r="AI13" s="69">
        <f t="shared" si="28"/>
        <v>0</v>
      </c>
      <c r="AJ13">
        <f t="shared" si="1"/>
        <v>0</v>
      </c>
      <c r="AK13">
        <f t="shared" si="2"/>
        <v>0</v>
      </c>
      <c r="AL13">
        <f t="shared" si="3"/>
        <v>0</v>
      </c>
      <c r="AM13">
        <f t="shared" si="4"/>
        <v>0</v>
      </c>
      <c r="AN13">
        <f t="shared" si="5"/>
        <v>0</v>
      </c>
      <c r="AO13">
        <f t="shared" si="6"/>
        <v>0</v>
      </c>
      <c r="AP13">
        <f t="shared" si="7"/>
        <v>0</v>
      </c>
      <c r="AQ13">
        <f t="shared" si="8"/>
        <v>0</v>
      </c>
      <c r="AR13">
        <f t="shared" si="9"/>
        <v>0</v>
      </c>
      <c r="AS13">
        <f t="shared" si="10"/>
        <v>0</v>
      </c>
      <c r="AT13">
        <f t="shared" si="29"/>
        <v>0</v>
      </c>
      <c r="AU13">
        <f t="shared" si="11"/>
        <v>0</v>
      </c>
      <c r="AV13">
        <f t="shared" si="12"/>
        <v>0</v>
      </c>
      <c r="AW13">
        <f t="shared" si="13"/>
        <v>0</v>
      </c>
      <c r="AX13">
        <f t="shared" si="14"/>
        <v>0</v>
      </c>
      <c r="AY13">
        <f t="shared" si="15"/>
        <v>0</v>
      </c>
      <c r="AZ13">
        <f t="shared" si="16"/>
        <v>0</v>
      </c>
      <c r="BA13">
        <f t="shared" si="17"/>
        <v>0</v>
      </c>
      <c r="BB13">
        <f t="shared" si="18"/>
        <v>0</v>
      </c>
      <c r="BC13">
        <f t="shared" si="19"/>
        <v>0</v>
      </c>
      <c r="BD13">
        <f t="shared" si="20"/>
        <v>0</v>
      </c>
      <c r="BE13">
        <f t="shared" si="21"/>
        <v>0</v>
      </c>
    </row>
    <row r="14" spans="1:57" hidden="1" x14ac:dyDescent="0.35">
      <c r="A14" s="13" t="s">
        <v>4</v>
      </c>
      <c r="B14" s="8">
        <f>SUM(B4:B13)*-1</f>
        <v>0</v>
      </c>
      <c r="C14" s="8">
        <f>SUM(C4:C13)</f>
        <v>0</v>
      </c>
      <c r="D14" s="8">
        <f>SUM(D4:D13)*-1</f>
        <v>0</v>
      </c>
      <c r="E14" s="8">
        <f>SUM(E4:E13)</f>
        <v>0</v>
      </c>
      <c r="F14" s="8">
        <f>SUM(F4:F13)*-1</f>
        <v>0</v>
      </c>
      <c r="G14" s="8">
        <f>SUM(G4:G13)</f>
        <v>0</v>
      </c>
      <c r="H14" s="8">
        <f>SUM(H4:H13)*-1</f>
        <v>0</v>
      </c>
      <c r="I14" s="8">
        <f>SUM(I4:I13)</f>
        <v>0</v>
      </c>
      <c r="J14" s="8">
        <f>SUM(J4:J13)*-1</f>
        <v>0</v>
      </c>
      <c r="K14" s="8">
        <f>SUM(K4:K13)</f>
        <v>0</v>
      </c>
      <c r="L14" s="8">
        <f>SUM(L4:L13)*-1</f>
        <v>0</v>
      </c>
      <c r="M14" s="8">
        <f>SUM(M4:M13)</f>
        <v>0</v>
      </c>
      <c r="N14" s="8">
        <f>SUM(N4:N13)*-1</f>
        <v>0</v>
      </c>
      <c r="O14" s="8">
        <f>SUM(O4:O13)</f>
        <v>0</v>
      </c>
      <c r="P14" s="8">
        <f>SUM(P4:P13)*-1</f>
        <v>0</v>
      </c>
      <c r="Q14" s="8">
        <f>SUM(Q4:Q13)</f>
        <v>0</v>
      </c>
      <c r="R14" s="8">
        <f>SUM(R4:R13)*-1</f>
        <v>0</v>
      </c>
      <c r="S14" s="8">
        <f>SUM(S4:S13)</f>
        <v>0</v>
      </c>
      <c r="T14" s="8">
        <f>SUM(T4:T13)*-1</f>
        <v>0</v>
      </c>
      <c r="U14" s="8">
        <f>SUM(U4:U13)</f>
        <v>0</v>
      </c>
      <c r="AT14">
        <f>((SUM(AT4:AT13)/11)/(NoOfPlayers-1))/(NoOfPlayers)</f>
        <v>0</v>
      </c>
      <c r="BE14">
        <f>SUM(BE4:BE13)/(NoOfPlayers)</f>
        <v>0</v>
      </c>
    </row>
    <row r="15" spans="1:57" hidden="1" x14ac:dyDescent="0.35">
      <c r="A15" s="13" t="s">
        <v>5</v>
      </c>
      <c r="B15" s="8">
        <f>(
IF(OR(B4&gt;=11,C4&gt;=11),B4,0) +
IF(OR(B5&gt;=11,C5&gt;=11),B5,0) +
IF(OR(B6&gt;=11,C6&gt;=11),B6,0) +
IF(OR(B7&gt;=11,C7&gt;=11),B7,0) +
IF(OR(B8&gt;=11,C8&gt;=11),B8,0) +
IF(OR(B9&gt;=11,C9&gt;=11),B9,0) +
IF(OR(B10&gt;=11,C10&gt;=11),B10,0) +
IF(OR(B11&gt;=11,C11&gt;=11),B11,0) +
IF(OR(B12&gt;=11,C12&gt;=11),B12,0) +
IF(OR(B13&gt;=11,C13&gt;=11),B13,0) )*-1</f>
        <v>0</v>
      </c>
      <c r="C15" s="8">
        <f>(
IF(OR(B4&gt;=11,C4&gt;=11),C4,0) +
IF(OR(B5&gt;=11,C5&gt;=11),C5,0) +
IF(OR(B6&gt;=11,C6&gt;=11),C6,0) +
IF(OR(B7&gt;=11,C7&gt;=11),C7,0) +
IF(OR(B8&gt;=11,C8&gt;=11),C8,0) +
IF(OR(B9&gt;=11,C9&gt;=11),C9,0) +
IF(OR(B10&gt;=11,C10&gt;=11),C10,0) +
IF(OR(B11&gt;=11,C11&gt;=11),C11,0) +
IF(OR(B12&gt;=11,C12&gt;=11),C12,0) +
IF(OR(B13&gt;=11,C13&gt;=11),C13,0) )</f>
        <v>0</v>
      </c>
      <c r="D15" s="8">
        <f>(
IF(OR(D4&gt;=11,E4&gt;=11),D4,0) +
IF(OR(D5&gt;=11,E5&gt;=11),D5,0) +
IF(OR(D6&gt;=11,E6&gt;=11),D6,0) +
IF(OR(D7&gt;=11,E7&gt;=11),D7,0) +
IF(OR(D8&gt;=11,E8&gt;=11),D8,0) +
IF(OR(D9&gt;=11,E9&gt;=11),D9,0) +
IF(OR(D10&gt;=11,E10&gt;=11),D10,0) +
IF(OR(D11&gt;=11,E11&gt;=11),D11,0) +
IF(OR(D12&gt;=11,E12&gt;=11),D12,0) +
IF(OR(D13&gt;=11,E13&gt;=11),D13,0) )*-1</f>
        <v>0</v>
      </c>
      <c r="E15" s="8">
        <f>(
IF(OR(D4&gt;=11,E4&gt;=11),E4,0) +
IF(OR(D5&gt;=11,E5&gt;=11),E5,0) +
IF(OR(D6&gt;=11,E6&gt;=11),E6,0) +
IF(OR(D7&gt;=11,E7&gt;=11),E7,0) +
IF(OR(D8&gt;=11,E8&gt;=11),E8,0) +
IF(OR(D9&gt;=11,E9&gt;=11),E9,0) +
IF(OR(D10&gt;=11,E10&gt;=11),E10,0) +
IF(OR(D11&gt;=11,E11&gt;=11),E11,0) +
IF(OR(D12&gt;=11,E12&gt;=11),E12,0) +
IF(OR(D13&gt;=11,E13&gt;=11),E13,0) )</f>
        <v>0</v>
      </c>
      <c r="F15" s="8">
        <f>(
IF(OR(F4&gt;=11,G4&gt;=11),F4,0) +
IF(OR(F5&gt;=11,G5&gt;=11),F5,0) +
IF(OR(F6&gt;=11,G6&gt;=11),F6,0) +
IF(OR(F7&gt;=11,G7&gt;=11),F7,0) +
IF(OR(F8&gt;=11,G8&gt;=11),F8,0) +
IF(OR(F9&gt;=11,G9&gt;=11),F9,0) +
IF(OR(F10&gt;=11,G10&gt;=11),F10,0) +
IF(OR(F11&gt;=11,G11&gt;=11),F11,0) +
IF(OR(F12&gt;=11,G12&gt;=11),F12,0) +
IF(OR(F13&gt;=11,G13&gt;=11),F13,0) )*-1</f>
        <v>0</v>
      </c>
      <c r="G15" s="8">
        <f>(
IF(OR(F4&gt;=11,G4&gt;=11),G4,0) +
IF(OR(F5&gt;=11,G5&gt;=11),G5,0) +
IF(OR(F6&gt;=11,G6&gt;=11),G6,0) +
IF(OR(F7&gt;=11,G7&gt;=11),G7,0) +
IF(OR(F8&gt;=11,G8&gt;=11),G8,0) +
IF(OR(F9&gt;=11,G9&gt;=11),G9,0) +
IF(OR(F10&gt;=11,G10&gt;=11),G10,0) +
IF(OR(F11&gt;=11,G11&gt;=11),G11,0) +
IF(OR(F12&gt;=11,G12&gt;=11),G12,0) +
IF(OR(F13&gt;=11,G13&gt;=11),G13,0) )</f>
        <v>0</v>
      </c>
      <c r="H15" s="8">
        <f>(
IF(OR(H4&gt;=11,I4&gt;=11),H4,0) +
IF(OR(H5&gt;=11,I5&gt;=11),H5,0) +
IF(OR(H6&gt;=11,I6&gt;=11),H6,0) +
IF(OR(H7&gt;=11,I7&gt;=11),H7,0) +
IF(OR(H8&gt;=11,I8&gt;=11),H8,0) +
IF(OR(H9&gt;=11,I9&gt;=11),H9,0) +
IF(OR(H10&gt;=11,I10&gt;=11),H10,0) +
IF(OR(H11&gt;=11,I11&gt;=11),H11,0) +
IF(OR(H12&gt;=11,I12&gt;=11),H12,0) +
IF(OR(H13&gt;=11,I13&gt;=11),H13,0) )*-1</f>
        <v>0</v>
      </c>
      <c r="I15" s="8">
        <f>(
IF(OR(H4&gt;=11,I4&gt;=11),I4,0) +
IF(OR(H5&gt;=11,I5&gt;=11),I5,0) +
IF(OR(H6&gt;=11,I6&gt;=11),I6,0) +
IF(OR(H7&gt;=11,I7&gt;=11),I7,0) +
IF(OR(H8&gt;=11,I8&gt;=11),I8,0) +
IF(OR(H9&gt;=11,I9&gt;=11),I9,0) +
IF(OR(H10&gt;=11,I10&gt;=11),I10,0) +
IF(OR(H11&gt;=11,I11&gt;=11),I11,0) +
IF(OR(H12&gt;=11,I12&gt;=11),I12,0) +
IF(OR(H13&gt;=11,I13&gt;=11),I13,0) )</f>
        <v>0</v>
      </c>
      <c r="J15" s="8">
        <f>(
IF(OR(J4&gt;=11,K4&gt;=11),J4,0) +
IF(OR(J5&gt;=11,K5&gt;=11),J5,0) +
IF(OR(J6&gt;=11,K6&gt;=11),J6,0) +
IF(OR(J7&gt;=11,K7&gt;=11),J7,0) +
IF(OR(J8&gt;=11,K8&gt;=11),J8,0) +
IF(OR(J9&gt;=11,K9&gt;=11),J9,0) +
IF(OR(J10&gt;=11,K10&gt;=11),J10,0) +
IF(OR(J11&gt;=11,K11&gt;=11),J11,0) +
IF(OR(J12&gt;=11,K12&gt;=11),J12,0) +
IF(OR(J13&gt;=11,K13&gt;=11),J13,0) )*-1</f>
        <v>0</v>
      </c>
      <c r="K15" s="8">
        <f>(
IF(OR(J4&gt;=11,K4&gt;=11),K4,0) +
IF(OR(J5&gt;=11,K5&gt;=11),K5,0) +
IF(OR(J6&gt;=11,K6&gt;=11),K6,0) +
IF(OR(J7&gt;=11,K7&gt;=11),K7,0) +
IF(OR(J8&gt;=11,K8&gt;=11),K8,0) +
IF(OR(J9&gt;=11,K9&gt;=11),K9,0) +
IF(OR(J10&gt;=11,K10&gt;=11),K10,0) +
IF(OR(J11&gt;=11,K11&gt;=11),K11,0) +
IF(OR(J12&gt;=11,K12&gt;=11),K12,0) +
IF(OR(J13&gt;=11,K13&gt;=11),K13,0) )</f>
        <v>0</v>
      </c>
      <c r="L15" s="8">
        <f>(
IF(OR(L4&gt;=11,M4&gt;=11),L4,0) +
IF(OR(L5&gt;=11,M5&gt;=11),L5,0) +
IF(OR(L6&gt;=11,M6&gt;=11),L6,0) +
IF(OR(L7&gt;=11,M7&gt;=11),L7,0) +
IF(OR(L8&gt;=11,M8&gt;=11),L8,0) +
IF(OR(L9&gt;=11,M9&gt;=11),L9,0) +
IF(OR(L10&gt;=11,M10&gt;=11),L10,0) +
IF(OR(L11&gt;=11,M11&gt;=11),L11,0) +
IF(OR(L12&gt;=11,M12&gt;=11),L12,0) +
IF(OR(L13&gt;=11,M13&gt;=11),L13,0) )*-1</f>
        <v>0</v>
      </c>
      <c r="M15" s="8">
        <f>(
IF(OR(L4&gt;=11,M4&gt;=11),M4,0) +
IF(OR(L5&gt;=11,M5&gt;=11),M5,0) +
IF(OR(L6&gt;=11,M6&gt;=11),M6,0) +
IF(OR(L7&gt;=11,M7&gt;=11),M7,0) +
IF(OR(L8&gt;=11,M8&gt;=11),M8,0) +
IF(OR(L9&gt;=11,M9&gt;=11),M9,0) +
IF(OR(L10&gt;=11,M10&gt;=11),M10,0) +
IF(OR(L11&gt;=11,M11&gt;=11),M11,0) +
IF(OR(L12&gt;=11,M12&gt;=11),M12,0) +
IF(OR(L13&gt;=11,M13&gt;=11),M13,0) )</f>
        <v>0</v>
      </c>
      <c r="N15" s="8">
        <f>(
IF(OR(N4&gt;=11,O4&gt;=11),N4,0) +
IF(OR(N5&gt;=11,O5&gt;=11),N5,0) +
IF(OR(N6&gt;=11,O6&gt;=11),N6,0) +
IF(OR(N7&gt;=11,O7&gt;=11),N7,0) +
IF(OR(N8&gt;=11,O8&gt;=11),N8,0) +
IF(OR(N9&gt;=11,O9&gt;=11),N9,0) +
IF(OR(N10&gt;=11,O10&gt;=11),N10,0) +
IF(OR(N11&gt;=11,O11&gt;=11),N11,0) +
IF(OR(N12&gt;=11,O12&gt;=11),N12,0) +
IF(OR(N13&gt;=11,O13&gt;=11),N13,0) )*-1</f>
        <v>0</v>
      </c>
      <c r="O15" s="8">
        <f>(
IF(OR(N4&gt;=11,O4&gt;=11),O4,0) +
IF(OR(N5&gt;=11,O5&gt;=11),O5,0) +
IF(OR(N6&gt;=11,O6&gt;=11),O6,0) +
IF(OR(N7&gt;=11,O7&gt;=11),O7,0) +
IF(OR(N8&gt;=11,O8&gt;=11),O8,0) +
IF(OR(N9&gt;=11,O9&gt;=11),O9,0) +
IF(OR(N10&gt;=11,O10&gt;=11),O10,0) +
IF(OR(N11&gt;=11,O11&gt;=11),O11,0) +
IF(OR(N12&gt;=11,O12&gt;=11),O12,0) +
IF(OR(N13&gt;=11,O13&gt;=11),O13,0) )</f>
        <v>0</v>
      </c>
      <c r="P15" s="8">
        <f>(
IF(OR(P4&gt;=11,Q4&gt;=11),P4,0) +
IF(OR(P5&gt;=11,Q5&gt;=11),P5,0) +
IF(OR(P6&gt;=11,Q6&gt;=11),P6,0) +
IF(OR(P7&gt;=11,Q7&gt;=11),P7,0) +
IF(OR(P8&gt;=11,Q8&gt;=11),P8,0) +
IF(OR(P9&gt;=11,Q9&gt;=11),P9,0) +
IF(OR(P10&gt;=11,Q10&gt;=11),P10,0) +
IF(OR(P11&gt;=11,Q11&gt;=11),P11,0) +
IF(OR(P12&gt;=11,Q12&gt;=11),P12,0) +
IF(OR(P13&gt;=11,Q13&gt;=11),P13,0) )*-1</f>
        <v>0</v>
      </c>
      <c r="Q15" s="8">
        <f>(
IF(OR(P4&gt;=11,Q4&gt;=11),Q4,0) +
IF(OR(P5&gt;=11,Q5&gt;=11),Q5,0) +
IF(OR(P6&gt;=11,Q6&gt;=11),Q6,0) +
IF(OR(P7&gt;=11,Q7&gt;=11),Q7,0) +
IF(OR(P8&gt;=11,Q8&gt;=11),Q8,0) +
IF(OR(P9&gt;=11,Q9&gt;=11),Q9,0) +
IF(OR(P10&gt;=11,Q10&gt;=11),Q10,0) +
IF(OR(P11&gt;=11,Q11&gt;=11),Q11,0) +
IF(OR(P12&gt;=11,Q12&gt;=11),Q12,0) +
IF(OR(P13&gt;=11,Q13&gt;=11),Q13,0) )</f>
        <v>0</v>
      </c>
      <c r="R15" s="8">
        <f>(
IF(OR(R4&gt;=11,S4&gt;=11),R4,0) +
IF(OR(R5&gt;=11,S5&gt;=11),R5,0) +
IF(OR(R6&gt;=11,S6&gt;=11),R6,0) +
IF(OR(R7&gt;=11,S7&gt;=11),R7,0) +
IF(OR(R8&gt;=11,S8&gt;=11),R8,0) +
IF(OR(R9&gt;=11,S9&gt;=11),R9,0) +
IF(OR(R10&gt;=11,S10&gt;=11),R10,0) +
IF(OR(R11&gt;=11,S11&gt;=11),R11,0) +
IF(OR(R12&gt;=11,S12&gt;=11),R12,0) +
IF(OR(R13&gt;=11,S13&gt;=11),R13,0) )*-1</f>
        <v>0</v>
      </c>
      <c r="S15" s="8">
        <f>(
IF(OR(R4&gt;=11,S4&gt;=11),S4,0) +
IF(OR(R5&gt;=11,S5&gt;=11),S5,0) +
IF(OR(R6&gt;=11,S6&gt;=11),S6,0) +
IF(OR(R7&gt;=11,S7&gt;=11),S7,0) +
IF(OR(R8&gt;=11,S8&gt;=11),S8,0) +
IF(OR(R9&gt;=11,S9&gt;=11),S9,0) +
IF(OR(R10&gt;=11,S10&gt;=11),S10,0) +
IF(OR(R11&gt;=11,S11&gt;=11),S11,0) +
IF(OR(R12&gt;=11,S12&gt;=11),S12,0) +
IF(OR(R13&gt;=11,S13&gt;=11),S13,0) )</f>
        <v>0</v>
      </c>
      <c r="T15" s="8">
        <f>(
IF(OR(T4&gt;=11,U4&gt;=11),T4,0) +
IF(OR(T5&gt;=11,U5&gt;=11),T5,0) +
IF(OR(T6&gt;=11,U6&gt;=11),T6,0) +
IF(OR(T7&gt;=11,U7&gt;=11),T7,0) +
IF(OR(T8&gt;=11,U8&gt;=11),T8,0) +
IF(OR(T9&gt;=11,U9&gt;=11),T9,0) +
IF(OR(T10&gt;=11,U10&gt;=11),T10,0) +
IF(OR(T11&gt;=11,U11&gt;=11),T11,0) +
IF(OR(T12&gt;=11,U12&gt;=11),T12,0) +
IF(OR(T13&gt;=11,U13&gt;=11),T13,0) )*-1</f>
        <v>0</v>
      </c>
      <c r="U15" s="8">
        <f>(
IF(OR(T4&gt;=11,U4&gt;=11),U4,0) +
IF(OR(T5&gt;=11,U5&gt;=11),U5,0) +
IF(OR(T6&gt;=11,U6&gt;=11),U6,0) +
IF(OR(T7&gt;=11,U7&gt;=11),U7,0) +
IF(OR(T8&gt;=11,U8&gt;=11),U8,0) +
IF(OR(T9&gt;=11,U9&gt;=11),U9,0) +
IF(OR(T10&gt;=11,U10&gt;=11),U10,0) +
IF(OR(T11&gt;=11,U11&gt;=11),U11,0) +
IF(OR(T12&gt;=11,U12&gt;=11),U12,0) +
IF(OR(T13&gt;=11,U13&gt;=11),U13,0) )</f>
        <v>0</v>
      </c>
    </row>
    <row r="16" spans="1:57" hidden="1" x14ac:dyDescent="0.35">
      <c r="A16" s="13" t="s">
        <v>2</v>
      </c>
      <c r="B16" s="8">
        <f t="shared" ref="B16:U16" si="32" xml:space="preserve">
IF(B4&gt;=11,1,0)+
IF(B5&gt;=11,1,0)+
IF(B6&gt;=11,1,0)+
IF(B7&gt;=11,1,0)+
IF(B8&gt;=11,1,0)+
IF(B9&gt;=11,1,0)+
IF(B10&gt;=11,1,0)+
IF(B11&gt;=11,1,0)+
IF(B12&gt;=11,1,0)+
IF(B13&gt;=11,1,0)</f>
        <v>0</v>
      </c>
      <c r="C16" s="8">
        <f t="shared" si="32"/>
        <v>0</v>
      </c>
      <c r="D16" s="8">
        <f t="shared" si="32"/>
        <v>0</v>
      </c>
      <c r="E16" s="8">
        <f t="shared" si="32"/>
        <v>0</v>
      </c>
      <c r="F16" s="8">
        <f t="shared" si="32"/>
        <v>0</v>
      </c>
      <c r="G16" s="8">
        <f t="shared" si="32"/>
        <v>0</v>
      </c>
      <c r="H16" s="8">
        <f t="shared" si="32"/>
        <v>0</v>
      </c>
      <c r="I16" s="8">
        <f t="shared" si="32"/>
        <v>0</v>
      </c>
      <c r="J16" s="8">
        <f t="shared" si="32"/>
        <v>0</v>
      </c>
      <c r="K16" s="8">
        <f t="shared" si="32"/>
        <v>0</v>
      </c>
      <c r="L16" s="8">
        <f t="shared" si="32"/>
        <v>0</v>
      </c>
      <c r="M16" s="8">
        <f t="shared" si="32"/>
        <v>0</v>
      </c>
      <c r="N16" s="8">
        <f t="shared" si="32"/>
        <v>0</v>
      </c>
      <c r="O16" s="8">
        <f t="shared" si="32"/>
        <v>0</v>
      </c>
      <c r="P16" s="8">
        <f t="shared" si="32"/>
        <v>0</v>
      </c>
      <c r="Q16" s="8">
        <f t="shared" si="32"/>
        <v>0</v>
      </c>
      <c r="R16" s="8">
        <f t="shared" si="32"/>
        <v>0</v>
      </c>
      <c r="S16" s="8">
        <f t="shared" si="32"/>
        <v>0</v>
      </c>
      <c r="T16" s="8">
        <f t="shared" si="32"/>
        <v>0</v>
      </c>
      <c r="U16" s="8">
        <f t="shared" si="32"/>
        <v>0</v>
      </c>
    </row>
    <row r="17" spans="1:21" x14ac:dyDescent="0.35">
      <c r="A17" s="8"/>
      <c r="B17" s="8"/>
      <c r="C17" s="8"/>
      <c r="D17" s="8"/>
      <c r="E17" s="8"/>
      <c r="F17" s="8"/>
      <c r="G17" s="8"/>
      <c r="H17" s="8"/>
      <c r="I17" s="8"/>
      <c r="J17" s="8"/>
      <c r="K17" s="8"/>
      <c r="L17" s="8"/>
      <c r="M17" s="8"/>
      <c r="N17" s="8"/>
      <c r="O17" s="8"/>
      <c r="P17" s="8"/>
      <c r="Q17" s="8"/>
      <c r="R17" s="8"/>
      <c r="S17" s="8"/>
      <c r="T17" s="8"/>
      <c r="U17" s="8"/>
    </row>
    <row r="18" spans="1:21" x14ac:dyDescent="0.35">
      <c r="A18" s="74"/>
    </row>
  </sheetData>
  <sheetProtection sheet="1" objects="1" scenarios="1"/>
  <mergeCells count="19">
    <mergeCell ref="AJ3:AT3"/>
    <mergeCell ref="AU3:BE3"/>
    <mergeCell ref="J3:K3"/>
    <mergeCell ref="B3:C3"/>
    <mergeCell ref="D3:E3"/>
    <mergeCell ref="F3:G3"/>
    <mergeCell ref="H3:I3"/>
    <mergeCell ref="V1:AA1"/>
    <mergeCell ref="AB1:AH1"/>
    <mergeCell ref="N3:O3"/>
    <mergeCell ref="L3:M3"/>
    <mergeCell ref="V2:W2"/>
    <mergeCell ref="X2:Y2"/>
    <mergeCell ref="AH2:AI2"/>
    <mergeCell ref="AD2:AE2"/>
    <mergeCell ref="AF2:AG2"/>
    <mergeCell ref="P3:Q3"/>
    <mergeCell ref="R3:S3"/>
    <mergeCell ref="T3:U3"/>
  </mergeCells>
  <dataValidations count="1">
    <dataValidation type="whole" allowBlank="1" showInputMessage="1" showErrorMessage="1" errorTitle="Error" error="Invalid value - Please enter values between 0 and 11" sqref="B4:U13" xr:uid="{16EF618E-7FEF-4613-9F6C-36077DCC4545}">
      <formula1>0</formula1>
      <formula2>11</formula2>
    </dataValidation>
  </dataValidations>
  <pageMargins left="0.7" right="0.7" top="0.78740157499999996" bottom="0.78740157499999996"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DD154-A8E1-4596-A017-290B2E7BEC38}">
  <sheetPr codeName="Tabelle1"/>
  <dimension ref="A1:Q16"/>
  <sheetViews>
    <sheetView workbookViewId="0">
      <selection sqref="A1:XFD1048576"/>
    </sheetView>
  </sheetViews>
  <sheetFormatPr baseColWidth="10" defaultColWidth="12.54296875" defaultRowHeight="14.5" x14ac:dyDescent="0.35"/>
  <cols>
    <col min="1" max="1" width="13.1796875" bestFit="1" customWidth="1"/>
    <col min="2" max="2" width="7.453125" style="7" bestFit="1" customWidth="1"/>
    <col min="3" max="3" width="4.453125" bestFit="1" customWidth="1"/>
    <col min="4" max="4" width="3.81640625" bestFit="1" customWidth="1"/>
    <col min="5" max="6" width="1.81640625" bestFit="1" customWidth="1"/>
    <col min="7" max="7" width="4.6328125" bestFit="1" customWidth="1"/>
    <col min="8" max="9" width="1.81640625" bestFit="1" customWidth="1"/>
    <col min="10" max="10" width="4.6328125" bestFit="1" customWidth="1"/>
    <col min="11" max="11" width="7.453125" bestFit="1" customWidth="1"/>
    <col min="12" max="12" width="9.36328125" bestFit="1" customWidth="1"/>
    <col min="13" max="13" width="11.26953125" style="19" bestFit="1" customWidth="1"/>
    <col min="14" max="14" width="8.453125" bestFit="1" customWidth="1"/>
    <col min="15" max="15" width="14.90625" style="21" bestFit="1" customWidth="1"/>
    <col min="16" max="16" width="9.453125" bestFit="1" customWidth="1"/>
    <col min="17" max="17" width="6.08984375" bestFit="1" customWidth="1"/>
  </cols>
  <sheetData>
    <row r="1" spans="1:17" x14ac:dyDescent="0.35">
      <c r="A1" s="8"/>
      <c r="B1" s="9"/>
      <c r="C1" s="8"/>
      <c r="D1" s="8"/>
      <c r="E1" s="94" t="s">
        <v>15</v>
      </c>
      <c r="F1" s="94"/>
      <c r="G1" s="94"/>
      <c r="H1" s="94" t="s">
        <v>12</v>
      </c>
      <c r="I1" s="94"/>
      <c r="J1" s="94"/>
      <c r="K1" s="94"/>
      <c r="L1" s="8"/>
      <c r="M1" s="17"/>
      <c r="N1" s="8"/>
      <c r="O1" s="22"/>
    </row>
    <row r="2" spans="1:17" ht="43.5" x14ac:dyDescent="0.35">
      <c r="A2" s="8" t="s">
        <v>13</v>
      </c>
      <c r="B2" s="10" t="s">
        <v>7</v>
      </c>
      <c r="C2" s="10" t="s">
        <v>11</v>
      </c>
      <c r="D2" s="10" t="s">
        <v>10</v>
      </c>
      <c r="E2" s="10" t="s">
        <v>0</v>
      </c>
      <c r="F2" s="10" t="s">
        <v>1</v>
      </c>
      <c r="G2" s="10" t="s">
        <v>8</v>
      </c>
      <c r="H2" s="10" t="s">
        <v>0</v>
      </c>
      <c r="I2" s="10" t="s">
        <v>1</v>
      </c>
      <c r="J2" s="10" t="s">
        <v>8</v>
      </c>
      <c r="K2" s="10" t="s">
        <v>7</v>
      </c>
      <c r="L2" s="10" t="s">
        <v>23</v>
      </c>
      <c r="M2" s="18" t="s">
        <v>28</v>
      </c>
      <c r="N2" s="10" t="s">
        <v>25</v>
      </c>
      <c r="O2" s="23" t="s">
        <v>30</v>
      </c>
      <c r="P2" s="42" t="s">
        <v>51</v>
      </c>
      <c r="Q2" t="s">
        <v>52</v>
      </c>
    </row>
    <row r="3" spans="1:17" x14ac:dyDescent="0.35">
      <c r="A3" s="15" t="str">
        <f>IF(Player7="","",Player7)</f>
        <v>silvercilla</v>
      </c>
      <c r="B3" s="44" t="str">
        <f>(C3+D3) &amp;"/" &amp; (COUNTA(Players!A:A)-2)*2</f>
        <v>0/16</v>
      </c>
      <c r="C3" s="45">
        <f>IF(A3="","",VLOOKUP(A3,Matches!$A$4:$AI$13,29,FALSE))</f>
        <v>0</v>
      </c>
      <c r="D3" s="45">
        <f>IF(A3="","",VLOOKUP(A3,Matches!$A$4:$AI$13,28,FALSE))</f>
        <v>0</v>
      </c>
      <c r="E3" s="46">
        <f>IF(A3="","",VLOOKUP(A3,Matches!$A$4:$AI$13,30,FALSE))</f>
        <v>0</v>
      </c>
      <c r="F3" s="46">
        <f>IF(A3="","",VLOOKUP(A3,Matches!$A$4:$AI$13,31,FALSE))</f>
        <v>0</v>
      </c>
      <c r="G3" s="46">
        <f>IF(A3="","",VLOOKUP(A3,Matches!$A$4:$AI$13,34,FALSE))</f>
        <v>0</v>
      </c>
      <c r="H3" s="47">
        <f>IF(A3="","",VLOOKUP(A3,Matches!$A$4:$AI$13,32,FALSE))</f>
        <v>0</v>
      </c>
      <c r="I3" s="47">
        <f>IF(A3="","",VLOOKUP(A3,Matches!$A$4:$AI$13,33,FALSE))</f>
        <v>0</v>
      </c>
      <c r="J3" s="47">
        <f t="shared" ref="J3:J12" si="0">IF(A3="","",H3+I3)</f>
        <v>0</v>
      </c>
      <c r="K3" s="47">
        <f t="shared" ref="K3:K12" si="1">IF(A3="","",C3+D3)</f>
        <v>0</v>
      </c>
      <c r="L3" s="48">
        <f t="shared" ref="L3:L12" si="2">IF(A3="","",K3*100/MatchesPerPlayer/100)</f>
        <v>0</v>
      </c>
      <c r="M3" s="46">
        <v>-1</v>
      </c>
      <c r="N3" s="49">
        <f>IF(A3="","",((COUNTA(Players!A:A)-2)*2-K3)+C3)</f>
        <v>16</v>
      </c>
      <c r="O3" s="50" t="str">
        <f>IF(A3="","",IF(VLOOKUP(A3,Players!A$2:D$11,4,FALSE)="","",VLOOKUP(A3,Players!A$2:D$11,4,FALSE)))</f>
        <v/>
      </c>
      <c r="P3">
        <f>VLOOKUP(A3,'Tournament win prognosis'!A$1:K$11,10,FALSE)</f>
        <v>14</v>
      </c>
      <c r="Q3">
        <f t="shared" ref="Q3:Q12" si="3">IF(EXACT(A3,""),99,0)</f>
        <v>0</v>
      </c>
    </row>
    <row r="4" spans="1:17" x14ac:dyDescent="0.35">
      <c r="A4" s="15" t="str">
        <f>IF(Player8="","",Player8)</f>
        <v>T.J.</v>
      </c>
      <c r="B4" s="44" t="str">
        <f>(C4+D4) &amp;"/" &amp; (COUNTA(Players!A:A)-2)*2</f>
        <v>0/16</v>
      </c>
      <c r="C4" s="45">
        <f>IF(A4="","",VLOOKUP(A4,Matches!$A$4:$AI$13,29,FALSE))</f>
        <v>0</v>
      </c>
      <c r="D4" s="45">
        <f>IF(A4="","",VLOOKUP(A4,Matches!$A$4:$AI$13,28,FALSE))</f>
        <v>0</v>
      </c>
      <c r="E4" s="46">
        <f>IF(A4="","",VLOOKUP(A4,Matches!$A$4:$AI$13,30,FALSE))</f>
        <v>0</v>
      </c>
      <c r="F4" s="46">
        <f>IF(A4="","",VLOOKUP(A4,Matches!$A$4:$AI$13,31,FALSE))</f>
        <v>0</v>
      </c>
      <c r="G4" s="46">
        <f>IF(A4="","",VLOOKUP(A4,Matches!$A$4:$AI$13,34,FALSE))</f>
        <v>0</v>
      </c>
      <c r="H4" s="47">
        <f>IF(A4="","",VLOOKUP(A4,Matches!$A$4:$AI$13,32,FALSE))</f>
        <v>0</v>
      </c>
      <c r="I4" s="47">
        <f>IF(A4="","",VLOOKUP(A4,Matches!$A$4:$AI$13,33,FALSE))</f>
        <v>0</v>
      </c>
      <c r="J4" s="47">
        <f t="shared" si="0"/>
        <v>0</v>
      </c>
      <c r="K4" s="47">
        <f t="shared" si="1"/>
        <v>0</v>
      </c>
      <c r="L4" s="48">
        <f t="shared" si="2"/>
        <v>0</v>
      </c>
      <c r="M4" s="46">
        <v>-1</v>
      </c>
      <c r="N4" s="49">
        <f>IF(A4="","",((COUNTA(Players!A:A)-2)*2-K4)+C4)</f>
        <v>16</v>
      </c>
      <c r="O4" s="50" t="str">
        <f>IF(A4="","",IF(VLOOKUP(A4,Players!A$2:D$11,4,FALSE)="","",VLOOKUP(A4,Players!A$2:D$11,4,FALSE)))</f>
        <v/>
      </c>
      <c r="P4">
        <f>VLOOKUP(A4,'Tournament win prognosis'!A$1:K$11,10,FALSE)</f>
        <v>13</v>
      </c>
      <c r="Q4">
        <f t="shared" si="3"/>
        <v>0</v>
      </c>
    </row>
    <row r="5" spans="1:17" x14ac:dyDescent="0.35">
      <c r="A5" s="15" t="str">
        <f>IF(Player1="","",Player1)</f>
        <v>andersm</v>
      </c>
      <c r="B5" s="44" t="str">
        <f>(C5+D5) &amp;"/" &amp; (COUNTA(Players!A:A)-2)*2</f>
        <v>0/16</v>
      </c>
      <c r="C5" s="45">
        <f>IF(A5="","",VLOOKUP(A5,Matches!$A$4:$AI$13,29,FALSE))</f>
        <v>0</v>
      </c>
      <c r="D5" s="45">
        <f>IF(A5="","",VLOOKUP(A5,Matches!$A$4:$AI$13,28,FALSE))</f>
        <v>0</v>
      </c>
      <c r="E5" s="46">
        <f>IF(A5="","",VLOOKUP(A5,Matches!$A$4:$AI$13,30,FALSE))</f>
        <v>0</v>
      </c>
      <c r="F5" s="46">
        <f>IF(A5="","",VLOOKUP(A5,Matches!$A$4:$AI$13,31,FALSE))</f>
        <v>0</v>
      </c>
      <c r="G5" s="46">
        <f>IF(A5="","",VLOOKUP(A5,Matches!$A$4:$AI$13,34,FALSE))</f>
        <v>0</v>
      </c>
      <c r="H5" s="47">
        <f>IF(A5="","",VLOOKUP(A5,Matches!$A$4:$AI$13,32,FALSE))</f>
        <v>0</v>
      </c>
      <c r="I5" s="47">
        <f>IF(A5="","",VLOOKUP(A5,Matches!$A$4:$AI$13,33,FALSE))</f>
        <v>0</v>
      </c>
      <c r="J5" s="47">
        <f t="shared" si="0"/>
        <v>0</v>
      </c>
      <c r="K5" s="47">
        <f t="shared" si="1"/>
        <v>0</v>
      </c>
      <c r="L5" s="48">
        <f t="shared" si="2"/>
        <v>0</v>
      </c>
      <c r="M5" s="46">
        <v>-1</v>
      </c>
      <c r="N5" s="49">
        <f>IF(A5="","",((COUNTA(Players!A:A)-2)*2-K5)+C5)</f>
        <v>16</v>
      </c>
      <c r="O5" s="50" t="str">
        <f>IF(A5="","",IF(VLOOKUP(A5,Players!A$2:D$11,4,FALSE)="","",VLOOKUP(A5,Players!A$2:D$11,4,FALSE)))</f>
        <v/>
      </c>
      <c r="P5">
        <f>VLOOKUP(A5,'Tournament win prognosis'!A$1:K$11,10,FALSE)</f>
        <v>9</v>
      </c>
      <c r="Q5">
        <f t="shared" si="3"/>
        <v>0</v>
      </c>
    </row>
    <row r="6" spans="1:17" x14ac:dyDescent="0.35">
      <c r="A6" s="15" t="str">
        <f>IF(Player9="","",Player9)</f>
        <v>Yolandaine</v>
      </c>
      <c r="B6" s="44" t="str">
        <f>(C6+D6) &amp;"/" &amp; (COUNTA(Players!A:A)-2)*2</f>
        <v>0/16</v>
      </c>
      <c r="C6" s="45">
        <f>IF(A6="","",VLOOKUP(A6,Matches!$A$4:$AI$13,29,FALSE))</f>
        <v>0</v>
      </c>
      <c r="D6" s="45">
        <f>IF(A6="","",VLOOKUP(A6,Matches!$A$4:$AI$13,28,FALSE))</f>
        <v>0</v>
      </c>
      <c r="E6" s="46">
        <f>IF(A6="","",VLOOKUP(A6,Matches!$A$4:$AI$13,30,FALSE))</f>
        <v>0</v>
      </c>
      <c r="F6" s="46">
        <f>IF(A6="","",VLOOKUP(A6,Matches!$A$4:$AI$13,31,FALSE))</f>
        <v>0</v>
      </c>
      <c r="G6" s="46">
        <f>IF(A6="","",VLOOKUP(A6,Matches!$A$4:$AI$13,34,FALSE))</f>
        <v>0</v>
      </c>
      <c r="H6" s="47">
        <f>IF(A6="","",VLOOKUP(A6,Matches!$A$4:$AI$13,32,FALSE))</f>
        <v>0</v>
      </c>
      <c r="I6" s="47">
        <f>IF(A6="","",VLOOKUP(A6,Matches!$A$4:$AI$13,33,FALSE))</f>
        <v>0</v>
      </c>
      <c r="J6" s="47">
        <f t="shared" si="0"/>
        <v>0</v>
      </c>
      <c r="K6" s="47">
        <f t="shared" si="1"/>
        <v>0</v>
      </c>
      <c r="L6" s="48">
        <f t="shared" si="2"/>
        <v>0</v>
      </c>
      <c r="M6" s="46">
        <v>-1</v>
      </c>
      <c r="N6" s="49">
        <f>IF(A6="","",((COUNTA(Players!A:A)-2)*2-K6)+C6)</f>
        <v>16</v>
      </c>
      <c r="O6" s="50" t="str">
        <f>IF(A6="","",IF(VLOOKUP(A6,Players!A$2:D$11,4,FALSE)="","",VLOOKUP(A6,Players!A$2:D$11,4,FALSE)))</f>
        <v/>
      </c>
      <c r="P6">
        <f>VLOOKUP(A6,'Tournament win prognosis'!A$1:K$11,10,FALSE)</f>
        <v>10</v>
      </c>
      <c r="Q6">
        <f t="shared" si="3"/>
        <v>0</v>
      </c>
    </row>
    <row r="7" spans="1:17" x14ac:dyDescent="0.35">
      <c r="A7" s="15" t="str">
        <f>IF(Player6="","",Player6)</f>
        <v>oldehippy</v>
      </c>
      <c r="B7" s="44" t="str">
        <f>(C7+D7) &amp;"/" &amp; (COUNTA(Players!A:A)-2)*2</f>
        <v>0/16</v>
      </c>
      <c r="C7" s="45">
        <f>IF(A7="","",VLOOKUP(A7,Matches!$A$4:$AI$13,29,FALSE))</f>
        <v>0</v>
      </c>
      <c r="D7" s="45">
        <f>IF(A7="","",VLOOKUP(A7,Matches!$A$4:$AI$13,28,FALSE))</f>
        <v>0</v>
      </c>
      <c r="E7" s="46">
        <f>IF(A7="","",VLOOKUP(A7,Matches!$A$4:$AI$13,30,FALSE))</f>
        <v>0</v>
      </c>
      <c r="F7" s="46">
        <f>IF(A7="","",VLOOKUP(A7,Matches!$A$4:$AI$13,31,FALSE))</f>
        <v>0</v>
      </c>
      <c r="G7" s="46">
        <f>IF(A7="","",VLOOKUP(A7,Matches!$A$4:$AI$13,34,FALSE))</f>
        <v>0</v>
      </c>
      <c r="H7" s="47">
        <f>IF(A7="","",VLOOKUP(A7,Matches!$A$4:$AI$13,32,FALSE))</f>
        <v>0</v>
      </c>
      <c r="I7" s="47">
        <f>IF(A7="","",VLOOKUP(A7,Matches!$A$4:$AI$13,33,FALSE))</f>
        <v>0</v>
      </c>
      <c r="J7" s="47">
        <f t="shared" si="0"/>
        <v>0</v>
      </c>
      <c r="K7" s="47">
        <f t="shared" si="1"/>
        <v>0</v>
      </c>
      <c r="L7" s="48">
        <f t="shared" si="2"/>
        <v>0</v>
      </c>
      <c r="M7" s="46">
        <v>-1</v>
      </c>
      <c r="N7" s="49">
        <f>IF(A7="","",((COUNTA(Players!A:A)-2)*2-K7)+C7)</f>
        <v>16</v>
      </c>
      <c r="O7" s="50" t="str">
        <f>IF(A7="","",IF(VLOOKUP(A7,Players!A$2:D$11,4,FALSE)="","",VLOOKUP(A7,Players!A$2:D$11,4,FALSE)))</f>
        <v/>
      </c>
      <c r="P7">
        <f>VLOOKUP(A7,'Tournament win prognosis'!A$1:K$11,10,FALSE)</f>
        <v>9</v>
      </c>
      <c r="Q7">
        <f t="shared" si="3"/>
        <v>0</v>
      </c>
    </row>
    <row r="8" spans="1:17" x14ac:dyDescent="0.35">
      <c r="A8" s="98" t="str">
        <f>IF(Player10="","",Player10)</f>
        <v/>
      </c>
      <c r="B8" s="99" t="e">
        <f>(C8+D8) &amp;"/" &amp; (COUNTA(Players!A:A)-2)*2</f>
        <v>#VALUE!</v>
      </c>
      <c r="C8" s="100" t="str">
        <f>IF(A8="","",VLOOKUP(A8,Matches!$A$4:$AI$13,29,FALSE))</f>
        <v/>
      </c>
      <c r="D8" s="100" t="str">
        <f>IF(A8="","",VLOOKUP(A8,Matches!$A$4:$AI$13,28,FALSE))</f>
        <v/>
      </c>
      <c r="E8" s="101" t="str">
        <f>IF(A8="","",VLOOKUP(A8,Matches!$A$4:$AI$13,30,FALSE))</f>
        <v/>
      </c>
      <c r="F8" s="101" t="str">
        <f>IF(A8="","",VLOOKUP(A8,Matches!$A$4:$AI$13,31,FALSE))</f>
        <v/>
      </c>
      <c r="G8" s="101" t="str">
        <f>IF(A8="","",VLOOKUP(A8,Matches!$A$4:$AI$13,34,FALSE))</f>
        <v/>
      </c>
      <c r="H8" s="102" t="str">
        <f>IF(A8="","",VLOOKUP(A8,Matches!$A$4:$AI$13,32,FALSE))</f>
        <v/>
      </c>
      <c r="I8" s="102" t="str">
        <f>IF(A8="","",VLOOKUP(A8,Matches!$A$4:$AI$13,33,FALSE))</f>
        <v/>
      </c>
      <c r="J8" s="102" t="str">
        <f t="shared" si="0"/>
        <v/>
      </c>
      <c r="K8" s="102" t="str">
        <f t="shared" si="1"/>
        <v/>
      </c>
      <c r="L8" s="103" t="str">
        <f t="shared" si="2"/>
        <v/>
      </c>
      <c r="M8" s="101">
        <v>-1</v>
      </c>
      <c r="N8" s="104" t="str">
        <f>IF(A8="","",((COUNTA(Players!A:A)-2)*2-K8)+C8)</f>
        <v/>
      </c>
      <c r="O8" s="105" t="str">
        <f>IF(A8="","",IF(VLOOKUP(A8,Players!A$2:D$11,4,FALSE)="","",VLOOKUP(A8,Players!A$2:D$11,4,FALSE)))</f>
        <v/>
      </c>
      <c r="P8" t="e">
        <f>VLOOKUP(A8,'Tournament win prognosis'!A$1:K$11,10,FALSE)</f>
        <v>#N/A</v>
      </c>
      <c r="Q8">
        <f t="shared" si="3"/>
        <v>99</v>
      </c>
    </row>
    <row r="9" spans="1:17" x14ac:dyDescent="0.35">
      <c r="A9" s="15" t="str">
        <f>IF(Player2="","",Player2)</f>
        <v>jebediasmie</v>
      </c>
      <c r="B9" s="44" t="str">
        <f>(C9+D9) &amp;"/" &amp; (COUNTA(Players!A:A)-2)*2</f>
        <v>0/16</v>
      </c>
      <c r="C9" s="45">
        <f>IF(A9="","",VLOOKUP(A9,Matches!$A$4:$AI$13,29,FALSE))</f>
        <v>0</v>
      </c>
      <c r="D9" s="45">
        <f>IF(A9="","",VLOOKUP(A9,Matches!$A$4:$AI$13,28,FALSE))</f>
        <v>0</v>
      </c>
      <c r="E9" s="46">
        <f>IF(A9="","",VLOOKUP(A9,Matches!$A$4:$AI$13,30,FALSE))</f>
        <v>0</v>
      </c>
      <c r="F9" s="46">
        <f>IF(A9="","",VLOOKUP(A9,Matches!$A$4:$AI$13,31,FALSE))</f>
        <v>0</v>
      </c>
      <c r="G9" s="46">
        <f>IF(A9="","",VLOOKUP(A9,Matches!$A$4:$AI$13,34,FALSE))</f>
        <v>0</v>
      </c>
      <c r="H9" s="47">
        <f>IF(A9="","",VLOOKUP(A9,Matches!$A$4:$AI$13,32,FALSE))</f>
        <v>0</v>
      </c>
      <c r="I9" s="47">
        <f>IF(A9="","",VLOOKUP(A9,Matches!$A$4:$AI$13,33,FALSE))</f>
        <v>0</v>
      </c>
      <c r="J9" s="47">
        <f t="shared" si="0"/>
        <v>0</v>
      </c>
      <c r="K9" s="47">
        <f t="shared" si="1"/>
        <v>0</v>
      </c>
      <c r="L9" s="48">
        <f t="shared" si="2"/>
        <v>0</v>
      </c>
      <c r="M9" s="46">
        <v>-1</v>
      </c>
      <c r="N9" s="49">
        <f>IF(A9="","",((COUNTA(Players!A:A)-2)*2-K9)+C9)</f>
        <v>16</v>
      </c>
      <c r="O9" s="50" t="str">
        <f>IF(A9="","",IF(VLOOKUP(A9,Players!A$2:D$11,4,FALSE)="","",VLOOKUP(A9,Players!A$2:D$11,4,FALSE)))</f>
        <v/>
      </c>
      <c r="P9">
        <f>VLOOKUP(A9,'Tournament win prognosis'!A$1:K$11,10,FALSE)</f>
        <v>7</v>
      </c>
      <c r="Q9">
        <f t="shared" si="3"/>
        <v>0</v>
      </c>
    </row>
    <row r="10" spans="1:17" x14ac:dyDescent="0.35">
      <c r="A10" s="15" t="str">
        <f>IF(Player4="","",Player4)</f>
        <v>MungoMH</v>
      </c>
      <c r="B10" s="44" t="str">
        <f>(C10+D10) &amp;"/" &amp; (COUNTA(Players!A:A)-2)*2</f>
        <v>0/16</v>
      </c>
      <c r="C10" s="45">
        <f>IF(A10="","",VLOOKUP(A10,Matches!$A$4:$AI$13,29,FALSE))</f>
        <v>0</v>
      </c>
      <c r="D10" s="45">
        <f>IF(A10="","",VLOOKUP(A10,Matches!$A$4:$AI$13,28,FALSE))</f>
        <v>0</v>
      </c>
      <c r="E10" s="46">
        <f>IF(A10="","",VLOOKUP(A10,Matches!$A$4:$AI$13,30,FALSE))</f>
        <v>0</v>
      </c>
      <c r="F10" s="46">
        <f>IF(A10="","",VLOOKUP(A10,Matches!$A$4:$AI$13,31,FALSE))</f>
        <v>0</v>
      </c>
      <c r="G10" s="46">
        <f>IF(A10="","",VLOOKUP(A10,Matches!$A$4:$AI$13,34,FALSE))</f>
        <v>0</v>
      </c>
      <c r="H10" s="47">
        <f>IF(A10="","",VLOOKUP(A10,Matches!$A$4:$AI$13,32,FALSE))</f>
        <v>0</v>
      </c>
      <c r="I10" s="47">
        <f>IF(A10="","",VLOOKUP(A10,Matches!$A$4:$AI$13,33,FALSE))</f>
        <v>0</v>
      </c>
      <c r="J10" s="47">
        <f t="shared" si="0"/>
        <v>0</v>
      </c>
      <c r="K10" s="47">
        <f t="shared" si="1"/>
        <v>0</v>
      </c>
      <c r="L10" s="48">
        <f t="shared" si="2"/>
        <v>0</v>
      </c>
      <c r="M10" s="46">
        <v>-1</v>
      </c>
      <c r="N10" s="49">
        <f>IF(A10="","",((COUNTA(Players!A:A)-2)*2-K10)+C10)</f>
        <v>16</v>
      </c>
      <c r="O10" s="50" t="str">
        <f>IF(A10="","",IF(VLOOKUP(A10,Players!A$2:D$11,4,FALSE)="","",VLOOKUP(A10,Players!A$2:D$11,4,FALSE)))</f>
        <v/>
      </c>
      <c r="P10">
        <f>VLOOKUP(A10,'Tournament win prognosis'!A$1:K$11,10,FALSE)</f>
        <v>7</v>
      </c>
      <c r="Q10">
        <f t="shared" si="3"/>
        <v>0</v>
      </c>
    </row>
    <row r="11" spans="1:17" x14ac:dyDescent="0.35">
      <c r="A11" s="15" t="str">
        <f>IF(Player5="","",Player5)</f>
        <v>neptun</v>
      </c>
      <c r="B11" s="44" t="str">
        <f>(C11+D11) &amp;"/" &amp; (COUNTA(Players!A:A)-2)*2</f>
        <v>0/16</v>
      </c>
      <c r="C11" s="45">
        <f>IF(A11="","",VLOOKUP(A11,Matches!$A$4:$AI$13,29,FALSE))</f>
        <v>0</v>
      </c>
      <c r="D11" s="45">
        <f>IF(A11="","",VLOOKUP(A11,Matches!$A$4:$AI$13,28,FALSE))</f>
        <v>0</v>
      </c>
      <c r="E11" s="46">
        <f>IF(A11="","",VLOOKUP(A11,Matches!$A$4:$AI$13,30,FALSE))</f>
        <v>0</v>
      </c>
      <c r="F11" s="46">
        <f>IF(A11="","",VLOOKUP(A11,Matches!$A$4:$AI$13,31,FALSE))</f>
        <v>0</v>
      </c>
      <c r="G11" s="46">
        <f>IF(A11="","",VLOOKUP(A11,Matches!$A$4:$AI$13,34,FALSE))</f>
        <v>0</v>
      </c>
      <c r="H11" s="47">
        <f>IF(A11="","",VLOOKUP(A11,Matches!$A$4:$AI$13,32,FALSE))</f>
        <v>0</v>
      </c>
      <c r="I11" s="47">
        <f>IF(A11="","",VLOOKUP(A11,Matches!$A$4:$AI$13,33,FALSE))</f>
        <v>0</v>
      </c>
      <c r="J11" s="47">
        <f t="shared" si="0"/>
        <v>0</v>
      </c>
      <c r="K11" s="47">
        <f t="shared" si="1"/>
        <v>0</v>
      </c>
      <c r="L11" s="48">
        <f t="shared" si="2"/>
        <v>0</v>
      </c>
      <c r="M11" s="46">
        <v>-1</v>
      </c>
      <c r="N11" s="49">
        <f>IF(A11="","",((COUNTA(Players!A:A)-2)*2-K11)+C11)</f>
        <v>16</v>
      </c>
      <c r="O11" s="50" t="str">
        <f>IF(A11="","",IF(VLOOKUP(A11,Players!A$2:D$11,4,FALSE)="","",VLOOKUP(A11,Players!A$2:D$11,4,FALSE)))</f>
        <v/>
      </c>
      <c r="P11">
        <f>VLOOKUP(A11,'Tournament win prognosis'!A$1:K$11,10,FALSE)</f>
        <v>5</v>
      </c>
      <c r="Q11">
        <f t="shared" si="3"/>
        <v>0</v>
      </c>
    </row>
    <row r="12" spans="1:17" x14ac:dyDescent="0.35">
      <c r="A12" s="15" t="str">
        <f>IF(Player3="","",Player3)</f>
        <v>Michael the pariah</v>
      </c>
      <c r="B12" s="44" t="str">
        <f>(C12+D12) &amp;"/" &amp; (COUNTA(Players!A:A)-2)*2</f>
        <v>0/16</v>
      </c>
      <c r="C12" s="45">
        <f>IF(A12="","",VLOOKUP(A12,Matches!$A$4:$AI$13,29,FALSE))</f>
        <v>0</v>
      </c>
      <c r="D12" s="45">
        <f>IF(A12="","",VLOOKUP(A12,Matches!$A$4:$AI$13,28,FALSE))</f>
        <v>0</v>
      </c>
      <c r="E12" s="46">
        <f>IF(A12="","",VLOOKUP(A12,Matches!$A$4:$AI$13,30,FALSE))</f>
        <v>0</v>
      </c>
      <c r="F12" s="46">
        <f>IF(A12="","",VLOOKUP(A12,Matches!$A$4:$AI$13,31,FALSE))</f>
        <v>0</v>
      </c>
      <c r="G12" s="46">
        <f>IF(A12="","",VLOOKUP(A12,Matches!$A$4:$AI$13,34,FALSE))</f>
        <v>0</v>
      </c>
      <c r="H12" s="47">
        <f>IF(A12="","",VLOOKUP(A12,Matches!$A$4:$AI$13,32,FALSE))</f>
        <v>0</v>
      </c>
      <c r="I12" s="47">
        <f>IF(A12="","",VLOOKUP(A12,Matches!$A$4:$AI$13,33,FALSE))</f>
        <v>0</v>
      </c>
      <c r="J12" s="47">
        <f t="shared" si="0"/>
        <v>0</v>
      </c>
      <c r="K12" s="47">
        <f t="shared" si="1"/>
        <v>0</v>
      </c>
      <c r="L12" s="48">
        <f t="shared" si="2"/>
        <v>0</v>
      </c>
      <c r="M12" s="46">
        <v>-1</v>
      </c>
      <c r="N12" s="49">
        <f>IF(A12="","",((COUNTA(Players!A:A)-2)*2-K12)+C12)</f>
        <v>16</v>
      </c>
      <c r="O12" s="50" t="str">
        <f>IF(A12="","",IF(VLOOKUP(A12,Players!A$2:D$11,4,FALSE)="","",VLOOKUP(A12,Players!A$2:D$11,4,FALSE)))</f>
        <v/>
      </c>
      <c r="P12">
        <f>VLOOKUP(A12,'Tournament win prognosis'!A$1:K$11,10,FALSE)</f>
        <v>5</v>
      </c>
      <c r="Q12">
        <f t="shared" si="3"/>
        <v>0</v>
      </c>
    </row>
    <row r="13" spans="1:17" x14ac:dyDescent="0.35">
      <c r="A13" s="13" t="s">
        <v>22</v>
      </c>
      <c r="B13" s="9" t="str">
        <f>K13 &amp; "/" &amp; TotalMatches</f>
        <v>0/72</v>
      </c>
      <c r="C13" s="8"/>
      <c r="D13" s="8"/>
      <c r="E13" s="8"/>
      <c r="F13" s="8"/>
      <c r="G13" s="8"/>
      <c r="H13" s="8"/>
      <c r="I13" s="8"/>
      <c r="J13" s="8"/>
      <c r="K13" s="11">
        <f>SUM(K3:K12)</f>
        <v>0</v>
      </c>
      <c r="L13" s="12">
        <f>K13*100/TotalMatches/100</f>
        <v>0</v>
      </c>
      <c r="M13" s="95" t="s">
        <v>31</v>
      </c>
      <c r="N13" s="96"/>
      <c r="O13" s="22">
        <f>MIN(O3:O12)</f>
        <v>0</v>
      </c>
    </row>
    <row r="14" spans="1:17" x14ac:dyDescent="0.35">
      <c r="A14" s="8"/>
      <c r="B14" s="9"/>
      <c r="C14" s="8"/>
      <c r="D14" s="8"/>
      <c r="E14" s="8"/>
      <c r="F14" s="8"/>
      <c r="G14" s="8"/>
      <c r="H14" s="8"/>
      <c r="I14" s="8"/>
      <c r="J14" s="8"/>
      <c r="K14" s="8"/>
      <c r="L14" s="8"/>
      <c r="M14" s="17"/>
      <c r="N14" s="8"/>
      <c r="O14" s="22"/>
    </row>
    <row r="15" spans="1:17" x14ac:dyDescent="0.35">
      <c r="A15" s="14"/>
      <c r="B15" s="97" t="str">
        <f>IF(MID(Group,1,1)="1","Winner of the tournament","Promotion candidate")</f>
        <v>Promotion candidate</v>
      </c>
      <c r="C15" s="93"/>
      <c r="D15" s="93"/>
      <c r="E15" s="93"/>
      <c r="F15" s="93"/>
      <c r="G15" s="93"/>
      <c r="H15" s="93"/>
      <c r="I15" s="93"/>
      <c r="J15" s="93"/>
      <c r="K15" s="8"/>
      <c r="L15" s="8"/>
      <c r="M15" s="8"/>
      <c r="N15" s="8"/>
      <c r="O15" s="8"/>
    </row>
    <row r="16" spans="1:17" x14ac:dyDescent="0.35">
      <c r="A16" s="15"/>
      <c r="B16" s="97" t="s">
        <v>37</v>
      </c>
      <c r="C16" s="93"/>
      <c r="D16" s="93"/>
      <c r="E16" s="93"/>
      <c r="F16" s="93"/>
      <c r="G16" s="93"/>
      <c r="H16" s="93"/>
      <c r="I16" s="93"/>
      <c r="J16" s="93"/>
      <c r="K16" s="8"/>
      <c r="L16" s="8"/>
      <c r="M16" s="8"/>
      <c r="N16" s="8"/>
      <c r="O16" s="8"/>
    </row>
  </sheetData>
  <sheetProtection sheet="1" objects="1" scenarios="1"/>
  <sortState xmlns:xlrd2="http://schemas.microsoft.com/office/spreadsheetml/2017/richdata2" ref="A3:Q12">
    <sortCondition ref="Q3:Q12"/>
    <sortCondition descending="1" ref="C3:C12"/>
    <sortCondition descending="1" ref="J3:J12"/>
    <sortCondition descending="1" ref="H3:H12"/>
    <sortCondition descending="1" ref="G3:G12"/>
  </sortState>
  <mergeCells count="5">
    <mergeCell ref="E1:G1"/>
    <mergeCell ref="M13:N13"/>
    <mergeCell ref="H1:K1"/>
    <mergeCell ref="B15:J15"/>
    <mergeCell ref="B16:J16"/>
  </mergeCells>
  <pageMargins left="0.7" right="0.7" top="0.78740157499999996" bottom="0.78740157499999996"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CD048-724B-4860-BB28-ADC6AE1E7E14}">
  <sheetPr codeName="Tabelle3"/>
  <dimension ref="A1:Q21"/>
  <sheetViews>
    <sheetView workbookViewId="0">
      <selection activeCell="B2" sqref="B2:K11"/>
    </sheetView>
  </sheetViews>
  <sheetFormatPr baseColWidth="10" defaultColWidth="11.453125" defaultRowHeight="14.5" x14ac:dyDescent="0.35"/>
  <cols>
    <col min="1" max="1" width="18.453125" customWidth="1"/>
    <col min="2" max="11" width="8" bestFit="1" customWidth="1"/>
    <col min="13" max="13" width="190.36328125" hidden="1" customWidth="1"/>
  </cols>
  <sheetData>
    <row r="1" spans="1:13" ht="100.25" customHeight="1" x14ac:dyDescent="0.35">
      <c r="A1" s="32" t="str">
        <f>Group</f>
        <v>5b</v>
      </c>
      <c r="B1" s="4" t="str">
        <f>$A2</f>
        <v>andersm</v>
      </c>
      <c r="C1" s="4" t="str">
        <f>$A3</f>
        <v>jebediasmie</v>
      </c>
      <c r="D1" s="4" t="str">
        <f>$A4</f>
        <v>Michael the pariah</v>
      </c>
      <c r="E1" s="4" t="str">
        <f>$A5</f>
        <v>MungoMH</v>
      </c>
      <c r="F1" s="4" t="str">
        <f>$A6</f>
        <v>neptun</v>
      </c>
      <c r="G1" s="4" t="str">
        <f>$A7</f>
        <v>oldehippy</v>
      </c>
      <c r="H1" s="4" t="str">
        <f>A8</f>
        <v>silvercilla</v>
      </c>
      <c r="I1" s="4" t="str">
        <f>$A9</f>
        <v>T.J.</v>
      </c>
      <c r="J1" s="4" t="str">
        <f>$A10</f>
        <v>Yolandaine</v>
      </c>
      <c r="K1" s="5" t="str">
        <f>$A11</f>
        <v/>
      </c>
      <c r="M1" s="24" t="s">
        <v>36</v>
      </c>
    </row>
    <row r="2" spans="1:13" x14ac:dyDescent="0.35">
      <c r="A2" s="1" t="str">
        <f>IF(Player1="","",Player1)</f>
        <v>andersm</v>
      </c>
      <c r="B2" s="65"/>
      <c r="C2" s="26"/>
      <c r="D2" s="26"/>
      <c r="E2" s="26"/>
      <c r="F2" s="26"/>
      <c r="G2" s="26"/>
      <c r="H2" s="26"/>
      <c r="I2" s="26"/>
      <c r="J2" s="26"/>
      <c r="K2" s="27"/>
      <c r="M2" t="str">
        <f>IF(A2="","","curl --stderr stderr.log -s -S -H ""Cookie: USERID=36964; PASSWORD=LQrxFeMoLxg3."" ""http://dailygammon.com/bg/user/" &amp; getPlayerIdFromUrl(getHyperlinkUrl(Players!A2)) &amp; "?active=1&amp;finished=0&amp;sort_win_loss=0&amp;days_to_view=150"" &gt;""" &amp; Group &amp; "\" &amp; Group &amp; "_" &amp; A2 &amp; "_" &amp; getPlayerIdFromUrl(getHyperlinkUrl(Players!A2)) &amp; ".html""")</f>
        <v>curl --stderr stderr.log -s -S -H "Cookie: USERID=36964; PASSWORD=LQrxFeMoLxg3." "http://dailygammon.com/bg/user/18934?active=1&amp;finished=0&amp;sort_win_loss=0&amp;days_to_view=150" &gt;"5b\5b_andersm_18934.html"</v>
      </c>
    </row>
    <row r="3" spans="1:13" x14ac:dyDescent="0.35">
      <c r="A3" s="1" t="str">
        <f>IF(Player2="","",Player2)</f>
        <v>jebediasmie</v>
      </c>
      <c r="B3" s="26"/>
      <c r="C3" s="65"/>
      <c r="D3" s="26"/>
      <c r="E3" s="26"/>
      <c r="F3" s="26"/>
      <c r="G3" s="26"/>
      <c r="H3" s="26"/>
      <c r="I3" s="26"/>
      <c r="J3" s="26"/>
      <c r="K3" s="27"/>
      <c r="M3" t="str">
        <f>IF(A3="","","curl --stderr stderr.log -s -S -H ""Cookie: USERID=36964; PASSWORD=LQrxFeMoLxg3."" ""http://dailygammon.com/bg/user/" &amp; getPlayerIdFromUrl(getHyperlinkUrl(Players!A3)) &amp; "?active=1&amp;finished=0&amp;sort_win_loss=0&amp;days_to_view=150"" &gt;""" &amp; Group &amp; "\" &amp; Group &amp; "_" &amp; A3 &amp; "_" &amp; getPlayerIdFromUrl(getHyperlinkUrl(Players!A3)) &amp; ".html""")</f>
        <v>curl --stderr stderr.log -s -S -H "Cookie: USERID=36964; PASSWORD=LQrxFeMoLxg3." "http://dailygammon.com/bg/user/39676?active=1&amp;finished=0&amp;sort_win_loss=0&amp;days_to_view=150" &gt;"5b\5b_jebediasmie_39676.html"</v>
      </c>
    </row>
    <row r="4" spans="1:13" x14ac:dyDescent="0.35">
      <c r="A4" s="1" t="str">
        <f>IF(Player3="","",Player3)</f>
        <v>Michael the pariah</v>
      </c>
      <c r="B4" s="26"/>
      <c r="C4" s="26"/>
      <c r="D4" s="65"/>
      <c r="E4" s="26"/>
      <c r="F4" s="26"/>
      <c r="G4" s="26"/>
      <c r="H4" s="26"/>
      <c r="I4" s="26"/>
      <c r="J4" s="26"/>
      <c r="K4" s="27"/>
      <c r="M4" t="str">
        <f>IF(A4="","","curl --stderr stderr.log -s -S -H ""Cookie: USERID=36964; PASSWORD=LQrxFeMoLxg3."" ""http://dailygammon.com/bg/user/" &amp; getPlayerIdFromUrl(getHyperlinkUrl(Players!A4)) &amp; "?active=1&amp;finished=0&amp;sort_win_loss=0&amp;days_to_view=150"" &gt;""" &amp; Group &amp; "\" &amp; Group &amp; "_" &amp; A4 &amp; "_" &amp; getPlayerIdFromUrl(getHyperlinkUrl(Players!A4)) &amp; ".html""")</f>
        <v>curl --stderr stderr.log -s -S -H "Cookie: USERID=36964; PASSWORD=LQrxFeMoLxg3." "http://dailygammon.com/bg/user/27628?active=1&amp;finished=0&amp;sort_win_loss=0&amp;days_to_view=150" &gt;"5b\5b_Michael the pariah_27628.html"</v>
      </c>
    </row>
    <row r="5" spans="1:13" x14ac:dyDescent="0.35">
      <c r="A5" s="1" t="str">
        <f>IF(Player4="","",Player4)</f>
        <v>MungoMH</v>
      </c>
      <c r="B5" s="26"/>
      <c r="C5" s="26"/>
      <c r="D5" s="26"/>
      <c r="E5" s="65"/>
      <c r="F5" s="26"/>
      <c r="G5" s="26"/>
      <c r="H5" s="26"/>
      <c r="I5" s="26"/>
      <c r="J5" s="26"/>
      <c r="K5" s="27"/>
      <c r="M5" t="str">
        <f>IF(A5="","","curl --stderr stderr.log -s -S -H ""Cookie: USERID=36964; PASSWORD=LQrxFeMoLxg3."" ""http://dailygammon.com/bg/user/" &amp; getPlayerIdFromUrl(getHyperlinkUrl(Players!A5)) &amp; "?active=1&amp;finished=0&amp;sort_win_loss=0&amp;days_to_view=150"" &gt;""" &amp; Group &amp; "\" &amp; Group &amp; "_" &amp; A5 &amp; "_" &amp; getPlayerIdFromUrl(getHyperlinkUrl(Players!A5)) &amp; ".html""")</f>
        <v>curl --stderr stderr.log -s -S -H "Cookie: USERID=36964; PASSWORD=LQrxFeMoLxg3." "http://dailygammon.com/bg/user/32125?active=1&amp;finished=0&amp;sort_win_loss=0&amp;days_to_view=150" &gt;"5b\5b_MungoMH_32125.html"</v>
      </c>
    </row>
    <row r="6" spans="1:13" x14ac:dyDescent="0.35">
      <c r="A6" s="1" t="str">
        <f>IF(Player5="","",Player5)</f>
        <v>neptun</v>
      </c>
      <c r="B6" s="26"/>
      <c r="C6" s="26"/>
      <c r="D6" s="29"/>
      <c r="E6" s="26"/>
      <c r="F6" s="66"/>
      <c r="G6" s="26"/>
      <c r="H6" s="26"/>
      <c r="I6" s="26"/>
      <c r="J6" s="26"/>
      <c r="K6" s="27"/>
      <c r="M6" t="str">
        <f>IF(A6="","","curl --stderr stderr.log -s -S -H ""Cookie: USERID=36964; PASSWORD=LQrxFeMoLxg3."" ""http://dailygammon.com/bg/user/" &amp; getPlayerIdFromUrl(getHyperlinkUrl(Players!A6)) &amp; "?active=1&amp;finished=0&amp;sort_win_loss=0&amp;days_to_view=150"" &gt;""" &amp; Group &amp; "\" &amp; Group &amp; "_" &amp; A6 &amp; "_" &amp; getPlayerIdFromUrl(getHyperlinkUrl(Players!A6)) &amp; ".html""")</f>
        <v>curl --stderr stderr.log -s -S -H "Cookie: USERID=36964; PASSWORD=LQrxFeMoLxg3." "http://dailygammon.com/bg/user/14990?active=1&amp;finished=0&amp;sort_win_loss=0&amp;days_to_view=150" &gt;"5b\5b_neptun_14990.html"</v>
      </c>
    </row>
    <row r="7" spans="1:13" x14ac:dyDescent="0.35">
      <c r="A7" s="1" t="str">
        <f>IF(Player6="","",Player6)</f>
        <v>oldehippy</v>
      </c>
      <c r="B7" s="26"/>
      <c r="C7" s="26"/>
      <c r="D7" s="26"/>
      <c r="E7" s="26"/>
      <c r="F7" s="26"/>
      <c r="G7" s="66"/>
      <c r="H7" s="26"/>
      <c r="I7" s="26"/>
      <c r="J7" s="26"/>
      <c r="K7" s="27"/>
      <c r="M7" t="str">
        <f>IF(A7="","","curl --stderr stderr.log -s -S -H ""Cookie: USERID=36964; PASSWORD=LQrxFeMoLxg3."" ""http://dailygammon.com/bg/user/" &amp; getPlayerIdFromUrl(getHyperlinkUrl(Players!A7)) &amp; "?active=1&amp;finished=0&amp;sort_win_loss=0&amp;days_to_view=150"" &gt;""" &amp; Group &amp; "\" &amp; Group &amp; "_" &amp; A7 &amp; "_" &amp; getPlayerIdFromUrl(getHyperlinkUrl(Players!A7)) &amp; ".html""")</f>
        <v>curl --stderr stderr.log -s -S -H "Cookie: USERID=36964; PASSWORD=LQrxFeMoLxg3." "http://dailygammon.com/bg/user/1070?active=1&amp;finished=0&amp;sort_win_loss=0&amp;days_to_view=150" &gt;"5b\5b_oldehippy_1070.html"</v>
      </c>
    </row>
    <row r="8" spans="1:13" x14ac:dyDescent="0.35">
      <c r="A8" s="1" t="str">
        <f>IF(Player7="","",Player7)</f>
        <v>silvercilla</v>
      </c>
      <c r="B8" s="26"/>
      <c r="C8" s="26"/>
      <c r="D8" s="26"/>
      <c r="E8" s="26"/>
      <c r="F8" s="26"/>
      <c r="G8" s="26"/>
      <c r="H8" s="66"/>
      <c r="I8" s="26"/>
      <c r="J8" s="26"/>
      <c r="K8" s="27"/>
      <c r="M8" t="str">
        <f>IF(A8="","","curl --stderr stderr.log -s -S -H ""Cookie: USERID=36964; PASSWORD=LQrxFeMoLxg3."" ""http://dailygammon.com/bg/user/" &amp; getPlayerIdFromUrl(getHyperlinkUrl(Players!A8)) &amp; "?active=1&amp;finished=0&amp;sort_win_loss=0&amp;days_to_view=150"" &gt;""" &amp; Group &amp; "\" &amp; Group &amp; "_" &amp; A8 &amp; "_" &amp; getPlayerIdFromUrl(getHyperlinkUrl(Players!A8)) &amp; ".html""")</f>
        <v>curl --stderr stderr.log -s -S -H "Cookie: USERID=36964; PASSWORD=LQrxFeMoLxg3." "http://dailygammon.com/bg/user/30497?active=1&amp;finished=0&amp;sort_win_loss=0&amp;days_to_view=150" &gt;"5b\5b_silvercilla_30497.html"</v>
      </c>
    </row>
    <row r="9" spans="1:13" x14ac:dyDescent="0.35">
      <c r="A9" s="1" t="str">
        <f>IF(Player8="","",Player8)</f>
        <v>T.J.</v>
      </c>
      <c r="B9" s="26"/>
      <c r="C9" s="26"/>
      <c r="D9" s="26"/>
      <c r="E9" s="26"/>
      <c r="F9" s="26"/>
      <c r="G9" s="26"/>
      <c r="H9" s="26"/>
      <c r="I9" s="66"/>
      <c r="J9" s="26"/>
      <c r="K9" s="27"/>
      <c r="M9" t="str">
        <f>IF(A9="","","curl --stderr stderr.log -s -S -H ""Cookie: USERID=36964; PASSWORD=LQrxFeMoLxg3."" ""http://dailygammon.com/bg/user/" &amp; getPlayerIdFromUrl(getHyperlinkUrl(Players!A9)) &amp; "?active=1&amp;finished=0&amp;sort_win_loss=0&amp;days_to_view=150"" &gt;""" &amp; Group &amp; "\" &amp; Group &amp; "_" &amp; A9 &amp; "_" &amp; getPlayerIdFromUrl(getHyperlinkUrl(Players!A9)) &amp; ".html""")</f>
        <v>curl --stderr stderr.log -s -S -H "Cookie: USERID=36964; PASSWORD=LQrxFeMoLxg3." "http://dailygammon.com/bg/user/8077?active=1&amp;finished=0&amp;sort_win_loss=0&amp;days_to_view=150" &gt;"5b\5b_T.J._8077.html"</v>
      </c>
    </row>
    <row r="10" spans="1:13" x14ac:dyDescent="0.35">
      <c r="A10" s="1" t="str">
        <f>IF(Player9="","",Player9)</f>
        <v>Yolandaine</v>
      </c>
      <c r="B10" s="26"/>
      <c r="C10" s="26"/>
      <c r="D10" s="26"/>
      <c r="E10" s="26"/>
      <c r="F10" s="26"/>
      <c r="G10" s="26"/>
      <c r="H10" s="26"/>
      <c r="I10" s="26"/>
      <c r="J10" s="66"/>
      <c r="K10" s="27"/>
      <c r="M10" t="str">
        <f>IF(A10="","","curl --stderr stderr.log -s -S -H ""Cookie: USERID=36964; PASSWORD=LQrxFeMoLxg3."" ""http://dailygammon.com/bg/user/" &amp; getPlayerIdFromUrl(getHyperlinkUrl(Players!A10)) &amp; "?active=1&amp;finished=0&amp;sort_win_loss=0&amp;days_to_view=150"" &gt;""" &amp; Group &amp; "\" &amp; Group &amp; "_" &amp; A10 &amp; "_" &amp; getPlayerIdFromUrl(getHyperlinkUrl(Players!A10)) &amp; ".html""")</f>
        <v>curl --stderr stderr.log -s -S -H "Cookie: USERID=36964; PASSWORD=LQrxFeMoLxg3." "http://dailygammon.com/bg/user/40365?active=1&amp;finished=0&amp;sort_win_loss=0&amp;days_to_view=150" &gt;"5b\5b_Yolandaine_40365.html"</v>
      </c>
    </row>
    <row r="11" spans="1:13" x14ac:dyDescent="0.35">
      <c r="A11" s="2" t="str">
        <f>IF(Player10="","",Player10)</f>
        <v/>
      </c>
      <c r="B11" s="28"/>
      <c r="C11" s="28"/>
      <c r="D11" s="28"/>
      <c r="E11" s="28"/>
      <c r="F11" s="28"/>
      <c r="G11" s="28"/>
      <c r="H11" s="28"/>
      <c r="I11" s="28"/>
      <c r="J11" s="28"/>
      <c r="K11" s="43"/>
      <c r="M11" t="str">
        <f>IF(A11="","","curl --stderr stderr.log -s -S -H ""Cookie: USERID=36964; PASSWORD=LQrxFeMoLxg3."" ""http://dailygammon.com/bg/user/" &amp; getPlayerIdFromUrl(getHyperlinkUrl(Players!A11)) &amp; "?active=1&amp;finished=0&amp;sort_win_loss=0&amp;days_to_view=150"" &gt;""" &amp; Group &amp; "\" &amp; Group &amp; "_" &amp; A11 &amp; "_" &amp; getPlayerIdFromUrl(getHyperlinkUrl(Players!A11)) &amp; ".html""")</f>
        <v/>
      </c>
    </row>
    <row r="21" spans="17:17" x14ac:dyDescent="0.35">
      <c r="Q21" t="s">
        <v>168</v>
      </c>
    </row>
  </sheetData>
  <sheetProtection selectLockedCells="1"/>
  <pageMargins left="0.7" right="0.7" top="0.78740157499999996" bottom="0.78740157499999996" header="0.3" footer="0.3"/>
  <pageSetup paperSize="9"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AE86-78EC-4A8B-9A44-1E643B31320A}">
  <sheetPr codeName="Tabelle14"/>
  <dimension ref="A1:G94"/>
  <sheetViews>
    <sheetView workbookViewId="0">
      <pane ySplit="1" topLeftCell="A6" activePane="bottomLeft" state="frozenSplit"/>
      <selection pane="bottomLeft" activeCell="F6" sqref="F6"/>
    </sheetView>
  </sheetViews>
  <sheetFormatPr baseColWidth="10" defaultRowHeight="14.5" x14ac:dyDescent="0.35"/>
  <cols>
    <col min="1" max="2" width="12.90625" bestFit="1" customWidth="1"/>
    <col min="3" max="3" width="12.36328125" bestFit="1" customWidth="1"/>
    <col min="4" max="4" width="18.08984375" bestFit="1" customWidth="1"/>
    <col min="5" max="5" width="8.1796875" bestFit="1" customWidth="1"/>
    <col min="6" max="6" width="12.453125" bestFit="1" customWidth="1"/>
    <col min="7" max="7" width="15.08984375" bestFit="1" customWidth="1"/>
  </cols>
  <sheetData>
    <row r="1" spans="1:7" x14ac:dyDescent="0.35">
      <c r="A1" t="s">
        <v>71</v>
      </c>
      <c r="B1" t="s">
        <v>72</v>
      </c>
      <c r="C1" t="s">
        <v>68</v>
      </c>
      <c r="D1" t="s">
        <v>182</v>
      </c>
      <c r="E1" t="s">
        <v>183</v>
      </c>
      <c r="F1" t="s">
        <v>184</v>
      </c>
      <c r="G1" t="s">
        <v>185</v>
      </c>
    </row>
    <row r="2" spans="1:7" x14ac:dyDescent="0.35">
      <c r="A2" t="s">
        <v>54</v>
      </c>
      <c r="B2" t="s">
        <v>180</v>
      </c>
      <c r="C2" s="30">
        <v>5128914</v>
      </c>
      <c r="D2" t="b">
        <f>IF(EXACT(A1 &amp; B1,A2&amp;B2),TRUE,FALSE)</f>
        <v>0</v>
      </c>
      <c r="E2" t="b">
        <v>1</v>
      </c>
      <c r="F2" t="s">
        <v>186</v>
      </c>
      <c r="G2" s="21">
        <v>45768.417164351849</v>
      </c>
    </row>
    <row r="3" spans="1:7" x14ac:dyDescent="0.35">
      <c r="A3" t="s">
        <v>54</v>
      </c>
      <c r="B3" t="s">
        <v>55</v>
      </c>
      <c r="C3" s="30">
        <v>5129113</v>
      </c>
      <c r="D3" t="b">
        <f t="shared" ref="D3:D66" si="0">IF(EXACT(A2 &amp; B2,A3&amp;B3),TRUE,FALSE)</f>
        <v>0</v>
      </c>
      <c r="E3" t="b">
        <v>1</v>
      </c>
      <c r="F3" t="s">
        <v>186</v>
      </c>
      <c r="G3" s="21">
        <v>45768.417164351849</v>
      </c>
    </row>
    <row r="4" spans="1:7" x14ac:dyDescent="0.35">
      <c r="A4" t="s">
        <v>54</v>
      </c>
      <c r="B4" t="s">
        <v>165</v>
      </c>
      <c r="C4" s="30">
        <v>5129255</v>
      </c>
      <c r="D4" t="b">
        <f t="shared" si="0"/>
        <v>0</v>
      </c>
      <c r="E4" t="b">
        <v>1</v>
      </c>
      <c r="F4" t="s">
        <v>186</v>
      </c>
      <c r="G4" s="21">
        <v>45768.417164351849</v>
      </c>
    </row>
    <row r="5" spans="1:7" x14ac:dyDescent="0.35">
      <c r="A5" t="s">
        <v>54</v>
      </c>
      <c r="B5" t="s">
        <v>166</v>
      </c>
      <c r="C5" s="30">
        <v>5128877</v>
      </c>
      <c r="D5" t="b">
        <f t="shared" si="0"/>
        <v>0</v>
      </c>
      <c r="E5" t="b">
        <v>1</v>
      </c>
      <c r="F5" t="s">
        <v>186</v>
      </c>
      <c r="G5" s="21">
        <v>45767.625937500001</v>
      </c>
    </row>
    <row r="6" spans="1:7" x14ac:dyDescent="0.35">
      <c r="A6" t="s">
        <v>54</v>
      </c>
      <c r="B6" t="s">
        <v>57</v>
      </c>
      <c r="C6" s="30">
        <v>5129780</v>
      </c>
      <c r="D6" t="b">
        <f t="shared" si="0"/>
        <v>0</v>
      </c>
      <c r="E6" t="b">
        <v>1</v>
      </c>
      <c r="F6" t="s">
        <v>186</v>
      </c>
      <c r="G6" s="21">
        <v>45770.738842592589</v>
      </c>
    </row>
    <row r="7" spans="1:7" x14ac:dyDescent="0.35">
      <c r="A7" t="s">
        <v>54</v>
      </c>
      <c r="B7" t="s">
        <v>58</v>
      </c>
      <c r="C7" s="30">
        <v>5129063</v>
      </c>
      <c r="D7" t="b">
        <f t="shared" si="0"/>
        <v>0</v>
      </c>
      <c r="E7" t="b">
        <v>1</v>
      </c>
      <c r="F7" t="s">
        <v>186</v>
      </c>
      <c r="G7" s="21">
        <v>45768.417164351849</v>
      </c>
    </row>
    <row r="8" spans="1:7" x14ac:dyDescent="0.35">
      <c r="A8" t="s">
        <v>54</v>
      </c>
      <c r="B8" t="s">
        <v>181</v>
      </c>
      <c r="C8" s="30">
        <v>5128973</v>
      </c>
      <c r="D8" t="b">
        <f t="shared" si="0"/>
        <v>0</v>
      </c>
      <c r="E8" t="b">
        <v>1</v>
      </c>
      <c r="F8" t="s">
        <v>186</v>
      </c>
      <c r="G8" s="21">
        <v>45768.417164351849</v>
      </c>
    </row>
    <row r="9" spans="1:7" x14ac:dyDescent="0.35">
      <c r="A9" t="s">
        <v>54</v>
      </c>
      <c r="B9" t="s">
        <v>167</v>
      </c>
      <c r="C9" s="30">
        <v>5128981</v>
      </c>
      <c r="D9" t="b">
        <f t="shared" si="0"/>
        <v>0</v>
      </c>
      <c r="E9" t="b">
        <v>1</v>
      </c>
      <c r="F9" t="s">
        <v>186</v>
      </c>
      <c r="G9" s="21">
        <v>45768.417164351849</v>
      </c>
    </row>
    <row r="10" spans="1:7" x14ac:dyDescent="0.35">
      <c r="A10" t="s">
        <v>54</v>
      </c>
      <c r="B10" t="s">
        <v>60</v>
      </c>
      <c r="C10" s="30">
        <v>5128885</v>
      </c>
      <c r="D10" t="b">
        <f t="shared" si="0"/>
        <v>0</v>
      </c>
      <c r="E10" t="b">
        <v>1</v>
      </c>
      <c r="F10" t="s">
        <v>186</v>
      </c>
      <c r="G10" s="21">
        <v>45768.417164351849</v>
      </c>
    </row>
    <row r="11" spans="1:7" x14ac:dyDescent="0.35">
      <c r="A11" t="s">
        <v>180</v>
      </c>
      <c r="B11" t="s">
        <v>54</v>
      </c>
      <c r="C11" s="30">
        <v>5127964</v>
      </c>
      <c r="D11" t="b">
        <f t="shared" si="0"/>
        <v>0</v>
      </c>
      <c r="E11" t="b">
        <v>1</v>
      </c>
      <c r="F11" t="s">
        <v>186</v>
      </c>
      <c r="G11" s="21">
        <v>45766.535011574073</v>
      </c>
    </row>
    <row r="12" spans="1:7" x14ac:dyDescent="0.35">
      <c r="A12" t="s">
        <v>180</v>
      </c>
      <c r="B12" t="s">
        <v>55</v>
      </c>
      <c r="C12" s="30">
        <v>5128842</v>
      </c>
      <c r="D12" t="b">
        <f t="shared" si="0"/>
        <v>0</v>
      </c>
      <c r="E12" t="b">
        <v>1</v>
      </c>
      <c r="F12" t="s">
        <v>186</v>
      </c>
      <c r="G12" s="21">
        <v>45767.625937500001</v>
      </c>
    </row>
    <row r="13" spans="1:7" x14ac:dyDescent="0.35">
      <c r="A13" t="s">
        <v>180</v>
      </c>
      <c r="B13" t="s">
        <v>165</v>
      </c>
      <c r="C13" s="30">
        <v>5129250</v>
      </c>
      <c r="D13" t="b">
        <f t="shared" si="0"/>
        <v>0</v>
      </c>
      <c r="E13" t="b">
        <v>1</v>
      </c>
      <c r="F13" t="s">
        <v>186</v>
      </c>
      <c r="G13" s="21">
        <v>45768.417164351849</v>
      </c>
    </row>
    <row r="14" spans="1:7" x14ac:dyDescent="0.35">
      <c r="A14" t="s">
        <v>180</v>
      </c>
      <c r="B14" t="s">
        <v>166</v>
      </c>
      <c r="C14" s="30">
        <v>5127966</v>
      </c>
      <c r="D14" t="b">
        <f t="shared" si="0"/>
        <v>0</v>
      </c>
      <c r="E14" t="b">
        <v>1</v>
      </c>
      <c r="F14" t="s">
        <v>186</v>
      </c>
      <c r="G14" s="21">
        <v>45766.535011574073</v>
      </c>
    </row>
    <row r="15" spans="1:7" x14ac:dyDescent="0.35">
      <c r="A15" t="s">
        <v>180</v>
      </c>
      <c r="B15" t="s">
        <v>57</v>
      </c>
      <c r="C15" s="30">
        <v>5129781</v>
      </c>
      <c r="D15" t="b">
        <f t="shared" si="0"/>
        <v>0</v>
      </c>
      <c r="E15" t="b">
        <v>1</v>
      </c>
      <c r="F15" t="s">
        <v>186</v>
      </c>
      <c r="G15" s="21">
        <v>45770.738842592589</v>
      </c>
    </row>
    <row r="16" spans="1:7" x14ac:dyDescent="0.35">
      <c r="A16" t="s">
        <v>180</v>
      </c>
      <c r="B16" t="s">
        <v>58</v>
      </c>
      <c r="C16" s="30">
        <v>5127974</v>
      </c>
      <c r="D16" t="b">
        <f t="shared" si="0"/>
        <v>0</v>
      </c>
      <c r="E16" t="b">
        <v>1</v>
      </c>
      <c r="F16" t="s">
        <v>186</v>
      </c>
      <c r="G16" s="21">
        <v>45766.535011574073</v>
      </c>
    </row>
    <row r="17" spans="1:7" x14ac:dyDescent="0.35">
      <c r="A17" t="s">
        <v>180</v>
      </c>
      <c r="B17" t="s">
        <v>181</v>
      </c>
      <c r="C17" s="30">
        <v>5128155</v>
      </c>
      <c r="D17" t="b">
        <f t="shared" si="0"/>
        <v>0</v>
      </c>
      <c r="E17" t="b">
        <v>1</v>
      </c>
      <c r="F17" t="s">
        <v>186</v>
      </c>
      <c r="G17" s="21">
        <v>45767.625937500001</v>
      </c>
    </row>
    <row r="18" spans="1:7" x14ac:dyDescent="0.35">
      <c r="A18" t="s">
        <v>180</v>
      </c>
      <c r="B18" t="s">
        <v>167</v>
      </c>
      <c r="C18" s="30">
        <v>5128151</v>
      </c>
      <c r="D18" t="b">
        <f t="shared" si="0"/>
        <v>0</v>
      </c>
      <c r="E18" t="b">
        <v>1</v>
      </c>
      <c r="F18" t="s">
        <v>186</v>
      </c>
      <c r="G18" s="21">
        <v>45767.625937500001</v>
      </c>
    </row>
    <row r="19" spans="1:7" x14ac:dyDescent="0.35">
      <c r="A19" t="s">
        <v>180</v>
      </c>
      <c r="B19" t="s">
        <v>60</v>
      </c>
      <c r="C19" s="30">
        <v>5128298</v>
      </c>
      <c r="D19" t="b">
        <f t="shared" si="0"/>
        <v>0</v>
      </c>
      <c r="E19" t="b">
        <v>1</v>
      </c>
      <c r="F19" t="s">
        <v>186</v>
      </c>
      <c r="G19" s="21">
        <v>45767.625937500001</v>
      </c>
    </row>
    <row r="20" spans="1:7" x14ac:dyDescent="0.35">
      <c r="A20" t="s">
        <v>55</v>
      </c>
      <c r="B20" t="s">
        <v>54</v>
      </c>
      <c r="C20" s="30">
        <v>5129788</v>
      </c>
      <c r="D20" t="b">
        <f t="shared" si="0"/>
        <v>0</v>
      </c>
      <c r="E20" t="b">
        <v>1</v>
      </c>
      <c r="F20" t="s">
        <v>186</v>
      </c>
      <c r="G20" s="21">
        <v>45770.738842592589</v>
      </c>
    </row>
    <row r="21" spans="1:7" x14ac:dyDescent="0.35">
      <c r="A21" t="s">
        <v>55</v>
      </c>
      <c r="B21" t="s">
        <v>180</v>
      </c>
      <c r="C21" s="30">
        <v>5129729</v>
      </c>
      <c r="D21" t="b">
        <f t="shared" si="0"/>
        <v>0</v>
      </c>
      <c r="E21" t="b">
        <v>1</v>
      </c>
      <c r="F21" t="s">
        <v>186</v>
      </c>
      <c r="G21" s="21">
        <v>45770.738842592589</v>
      </c>
    </row>
    <row r="22" spans="1:7" x14ac:dyDescent="0.35">
      <c r="A22" t="s">
        <v>55</v>
      </c>
      <c r="B22" t="s">
        <v>165</v>
      </c>
      <c r="C22" s="30">
        <v>5129815</v>
      </c>
      <c r="D22" t="b">
        <f t="shared" si="0"/>
        <v>0</v>
      </c>
      <c r="E22" t="b">
        <v>1</v>
      </c>
      <c r="F22" t="s">
        <v>186</v>
      </c>
      <c r="G22" s="21">
        <v>45770.738842592589</v>
      </c>
    </row>
    <row r="23" spans="1:7" x14ac:dyDescent="0.35">
      <c r="A23" t="s">
        <v>55</v>
      </c>
      <c r="B23" t="s">
        <v>166</v>
      </c>
      <c r="C23" s="30">
        <v>5129712</v>
      </c>
      <c r="D23" t="b">
        <f t="shared" si="0"/>
        <v>0</v>
      </c>
      <c r="E23" t="b">
        <v>1</v>
      </c>
      <c r="F23" t="s">
        <v>186</v>
      </c>
      <c r="G23" s="21">
        <v>45770.738842592589</v>
      </c>
    </row>
    <row r="24" spans="1:7" x14ac:dyDescent="0.35">
      <c r="A24" t="s">
        <v>55</v>
      </c>
      <c r="B24" t="s">
        <v>57</v>
      </c>
      <c r="C24" s="30">
        <v>5129778</v>
      </c>
      <c r="D24" t="b">
        <f t="shared" si="0"/>
        <v>0</v>
      </c>
      <c r="E24" t="b">
        <v>1</v>
      </c>
      <c r="F24" t="s">
        <v>186</v>
      </c>
      <c r="G24" s="21">
        <v>45770.738842592589</v>
      </c>
    </row>
    <row r="25" spans="1:7" x14ac:dyDescent="0.35">
      <c r="A25" t="s">
        <v>55</v>
      </c>
      <c r="B25" t="s">
        <v>58</v>
      </c>
      <c r="C25" s="30">
        <v>5129693</v>
      </c>
      <c r="D25" t="b">
        <f t="shared" si="0"/>
        <v>0</v>
      </c>
      <c r="E25" t="b">
        <v>1</v>
      </c>
      <c r="F25" t="s">
        <v>186</v>
      </c>
      <c r="G25" s="21">
        <v>45770.738842592589</v>
      </c>
    </row>
    <row r="26" spans="1:7" x14ac:dyDescent="0.35">
      <c r="A26" t="s">
        <v>55</v>
      </c>
      <c r="B26" t="s">
        <v>181</v>
      </c>
      <c r="C26" s="30">
        <v>5129718</v>
      </c>
      <c r="D26" t="b">
        <f t="shared" si="0"/>
        <v>0</v>
      </c>
      <c r="E26" t="b">
        <v>1</v>
      </c>
      <c r="F26" t="s">
        <v>186</v>
      </c>
      <c r="G26" s="21">
        <v>45770.738842592589</v>
      </c>
    </row>
    <row r="27" spans="1:7" x14ac:dyDescent="0.35">
      <c r="A27" t="s">
        <v>55</v>
      </c>
      <c r="B27" t="s">
        <v>167</v>
      </c>
      <c r="C27" s="30">
        <v>5129661</v>
      </c>
      <c r="D27" t="b">
        <f t="shared" si="0"/>
        <v>0</v>
      </c>
      <c r="E27" t="b">
        <v>1</v>
      </c>
      <c r="F27" t="s">
        <v>186</v>
      </c>
      <c r="G27" s="21">
        <v>45770.738842592589</v>
      </c>
    </row>
    <row r="28" spans="1:7" x14ac:dyDescent="0.35">
      <c r="A28" t="s">
        <v>55</v>
      </c>
      <c r="B28" t="s">
        <v>60</v>
      </c>
      <c r="C28" s="30">
        <v>5129665</v>
      </c>
      <c r="D28" t="b">
        <f t="shared" si="0"/>
        <v>0</v>
      </c>
      <c r="E28" t="b">
        <v>1</v>
      </c>
      <c r="F28" t="s">
        <v>186</v>
      </c>
      <c r="G28" s="21">
        <v>45770.738842592589</v>
      </c>
    </row>
    <row r="29" spans="1:7" x14ac:dyDescent="0.35">
      <c r="A29" t="s">
        <v>165</v>
      </c>
      <c r="B29" t="s">
        <v>54</v>
      </c>
      <c r="C29" s="30">
        <v>5129278</v>
      </c>
      <c r="D29" t="b">
        <f t="shared" si="0"/>
        <v>0</v>
      </c>
      <c r="E29" t="b">
        <v>1</v>
      </c>
      <c r="F29" t="s">
        <v>186</v>
      </c>
      <c r="G29" s="21">
        <v>45770.738842592589</v>
      </c>
    </row>
    <row r="30" spans="1:7" x14ac:dyDescent="0.35">
      <c r="A30" t="s">
        <v>165</v>
      </c>
      <c r="B30" t="s">
        <v>180</v>
      </c>
      <c r="C30" s="30">
        <v>5129257</v>
      </c>
      <c r="D30" t="b">
        <f t="shared" si="0"/>
        <v>0</v>
      </c>
      <c r="E30" t="b">
        <v>1</v>
      </c>
      <c r="F30" t="s">
        <v>186</v>
      </c>
      <c r="G30" s="21">
        <v>45768.417164351849</v>
      </c>
    </row>
    <row r="31" spans="1:7" x14ac:dyDescent="0.35">
      <c r="A31" t="s">
        <v>165</v>
      </c>
      <c r="B31" t="s">
        <v>55</v>
      </c>
      <c r="C31" s="30">
        <v>5129615</v>
      </c>
      <c r="D31" t="b">
        <f t="shared" si="0"/>
        <v>0</v>
      </c>
      <c r="E31" t="b">
        <v>1</v>
      </c>
      <c r="F31" s="64" t="s">
        <v>186</v>
      </c>
      <c r="G31" s="21">
        <v>45770.738842592589</v>
      </c>
    </row>
    <row r="32" spans="1:7" x14ac:dyDescent="0.35">
      <c r="A32" t="s">
        <v>165</v>
      </c>
      <c r="B32" t="s">
        <v>55</v>
      </c>
      <c r="C32" s="30">
        <v>5129616</v>
      </c>
      <c r="D32" t="b">
        <f t="shared" si="0"/>
        <v>1</v>
      </c>
      <c r="E32" t="b">
        <v>0</v>
      </c>
      <c r="F32" s="64" t="s">
        <v>188</v>
      </c>
      <c r="G32" s="21">
        <v>45770.738842592589</v>
      </c>
    </row>
    <row r="33" spans="1:7" x14ac:dyDescent="0.35">
      <c r="A33" t="s">
        <v>165</v>
      </c>
      <c r="B33" t="s">
        <v>166</v>
      </c>
      <c r="C33" s="30">
        <v>5129261</v>
      </c>
      <c r="D33" t="b">
        <f t="shared" si="0"/>
        <v>0</v>
      </c>
      <c r="E33" t="b">
        <v>1</v>
      </c>
      <c r="F33" t="s">
        <v>186</v>
      </c>
      <c r="G33" s="21">
        <v>45768.417164351849</v>
      </c>
    </row>
    <row r="34" spans="1:7" x14ac:dyDescent="0.35">
      <c r="A34" t="s">
        <v>165</v>
      </c>
      <c r="B34" t="s">
        <v>57</v>
      </c>
      <c r="C34" s="30">
        <v>5129782</v>
      </c>
      <c r="D34" t="b">
        <f t="shared" si="0"/>
        <v>0</v>
      </c>
      <c r="E34" t="b">
        <v>1</v>
      </c>
      <c r="F34" t="s">
        <v>186</v>
      </c>
      <c r="G34" s="21">
        <v>45770.738842592589</v>
      </c>
    </row>
    <row r="35" spans="1:7" x14ac:dyDescent="0.35">
      <c r="A35" t="s">
        <v>165</v>
      </c>
      <c r="B35" t="s">
        <v>58</v>
      </c>
      <c r="C35" s="30">
        <v>5129275</v>
      </c>
      <c r="D35" t="b">
        <f t="shared" si="0"/>
        <v>0</v>
      </c>
      <c r="E35" t="b">
        <v>1</v>
      </c>
      <c r="F35" t="s">
        <v>186</v>
      </c>
      <c r="G35" s="21">
        <v>45770.738842592589</v>
      </c>
    </row>
    <row r="36" spans="1:7" x14ac:dyDescent="0.35">
      <c r="A36" t="s">
        <v>165</v>
      </c>
      <c r="B36" t="s">
        <v>181</v>
      </c>
      <c r="C36" s="30">
        <v>5129258</v>
      </c>
      <c r="D36" t="b">
        <f t="shared" si="0"/>
        <v>0</v>
      </c>
      <c r="E36" t="b">
        <v>1</v>
      </c>
      <c r="F36" t="s">
        <v>186</v>
      </c>
      <c r="G36" s="21">
        <v>45768.417164351849</v>
      </c>
    </row>
    <row r="37" spans="1:7" x14ac:dyDescent="0.35">
      <c r="A37" t="s">
        <v>165</v>
      </c>
      <c r="B37" t="s">
        <v>167</v>
      </c>
      <c r="C37" s="30">
        <v>5129260</v>
      </c>
      <c r="D37" t="b">
        <f t="shared" si="0"/>
        <v>0</v>
      </c>
      <c r="E37" t="b">
        <v>1</v>
      </c>
      <c r="F37" t="s">
        <v>186</v>
      </c>
      <c r="G37" s="21">
        <v>45768.417164351849</v>
      </c>
    </row>
    <row r="38" spans="1:7" x14ac:dyDescent="0.35">
      <c r="A38" t="s">
        <v>165</v>
      </c>
      <c r="B38" t="s">
        <v>60</v>
      </c>
      <c r="C38" s="30">
        <v>5129355</v>
      </c>
      <c r="D38" t="b">
        <f t="shared" si="0"/>
        <v>0</v>
      </c>
      <c r="E38" t="b">
        <v>1</v>
      </c>
      <c r="F38" t="s">
        <v>186</v>
      </c>
      <c r="G38" s="21">
        <v>45770.738842592589</v>
      </c>
    </row>
    <row r="39" spans="1:7" x14ac:dyDescent="0.35">
      <c r="A39" t="s">
        <v>166</v>
      </c>
      <c r="B39" t="s">
        <v>54</v>
      </c>
      <c r="C39" s="30">
        <v>5128614</v>
      </c>
      <c r="D39" t="b">
        <f t="shared" si="0"/>
        <v>0</v>
      </c>
      <c r="E39" t="b">
        <v>1</v>
      </c>
      <c r="F39" t="s">
        <v>186</v>
      </c>
      <c r="G39" s="21">
        <v>45767.625937500001</v>
      </c>
    </row>
    <row r="40" spans="1:7" x14ac:dyDescent="0.35">
      <c r="A40" t="s">
        <v>166</v>
      </c>
      <c r="B40" t="s">
        <v>180</v>
      </c>
      <c r="C40" s="30">
        <v>5128316</v>
      </c>
      <c r="D40" t="b">
        <f t="shared" si="0"/>
        <v>0</v>
      </c>
      <c r="E40" t="b">
        <v>1</v>
      </c>
      <c r="F40" t="s">
        <v>186</v>
      </c>
      <c r="G40" s="21">
        <v>45767.625937500001</v>
      </c>
    </row>
    <row r="41" spans="1:7" x14ac:dyDescent="0.35">
      <c r="A41" t="s">
        <v>166</v>
      </c>
      <c r="B41" t="s">
        <v>55</v>
      </c>
      <c r="C41" s="30">
        <v>5128844</v>
      </c>
      <c r="D41" t="b">
        <f t="shared" si="0"/>
        <v>0</v>
      </c>
      <c r="E41" t="b">
        <v>1</v>
      </c>
      <c r="F41" t="s">
        <v>186</v>
      </c>
      <c r="G41" s="21">
        <v>45767.625937500001</v>
      </c>
    </row>
    <row r="42" spans="1:7" x14ac:dyDescent="0.35">
      <c r="A42" t="s">
        <v>166</v>
      </c>
      <c r="B42" t="s">
        <v>165</v>
      </c>
      <c r="C42" s="30">
        <v>5129254</v>
      </c>
      <c r="D42" t="b">
        <f t="shared" si="0"/>
        <v>0</v>
      </c>
      <c r="E42" t="b">
        <v>1</v>
      </c>
      <c r="F42" t="s">
        <v>186</v>
      </c>
      <c r="G42" s="21">
        <v>45768.417164351849</v>
      </c>
    </row>
    <row r="43" spans="1:7" x14ac:dyDescent="0.35">
      <c r="A43" t="s">
        <v>166</v>
      </c>
      <c r="B43" t="s">
        <v>57</v>
      </c>
      <c r="C43" s="30">
        <v>5129777</v>
      </c>
      <c r="D43" t="b">
        <f t="shared" si="0"/>
        <v>0</v>
      </c>
      <c r="E43" t="b">
        <v>1</v>
      </c>
      <c r="F43" t="s">
        <v>186</v>
      </c>
      <c r="G43" s="21">
        <v>45770.738842592589</v>
      </c>
    </row>
    <row r="44" spans="1:7" x14ac:dyDescent="0.35">
      <c r="A44" t="s">
        <v>166</v>
      </c>
      <c r="B44" t="s">
        <v>58</v>
      </c>
      <c r="C44" s="30">
        <v>5128591</v>
      </c>
      <c r="D44" t="b">
        <f t="shared" si="0"/>
        <v>0</v>
      </c>
      <c r="E44" t="b">
        <v>1</v>
      </c>
      <c r="F44" t="s">
        <v>186</v>
      </c>
      <c r="G44" s="21">
        <v>45767.625937500001</v>
      </c>
    </row>
    <row r="45" spans="1:7" x14ac:dyDescent="0.35">
      <c r="A45" t="s">
        <v>166</v>
      </c>
      <c r="B45" t="s">
        <v>181</v>
      </c>
      <c r="C45" s="30">
        <v>5128707</v>
      </c>
      <c r="D45" t="b">
        <f t="shared" si="0"/>
        <v>0</v>
      </c>
      <c r="E45" t="b">
        <v>1</v>
      </c>
      <c r="F45" t="s">
        <v>186</v>
      </c>
      <c r="G45" s="21">
        <v>45767.625937500001</v>
      </c>
    </row>
    <row r="46" spans="1:7" x14ac:dyDescent="0.35">
      <c r="A46" t="s">
        <v>166</v>
      </c>
      <c r="B46" t="s">
        <v>167</v>
      </c>
      <c r="C46" s="30">
        <v>5128413</v>
      </c>
      <c r="D46" t="b">
        <f t="shared" si="0"/>
        <v>0</v>
      </c>
      <c r="E46" t="b">
        <v>1</v>
      </c>
      <c r="F46" t="s">
        <v>186</v>
      </c>
      <c r="G46" s="21">
        <v>45767.625937500001</v>
      </c>
    </row>
    <row r="47" spans="1:7" x14ac:dyDescent="0.35">
      <c r="A47" t="s">
        <v>166</v>
      </c>
      <c r="B47" t="s">
        <v>60</v>
      </c>
      <c r="C47" s="30">
        <v>5128296</v>
      </c>
      <c r="D47" t="b">
        <f t="shared" si="0"/>
        <v>0</v>
      </c>
      <c r="E47" t="b">
        <v>1</v>
      </c>
      <c r="F47" t="s">
        <v>186</v>
      </c>
      <c r="G47" s="21">
        <v>45767.625937500001</v>
      </c>
    </row>
    <row r="48" spans="1:7" x14ac:dyDescent="0.35">
      <c r="A48" t="s">
        <v>57</v>
      </c>
      <c r="B48" t="s">
        <v>54</v>
      </c>
      <c r="C48" s="30">
        <v>5129789</v>
      </c>
      <c r="D48" t="b">
        <f t="shared" si="0"/>
        <v>0</v>
      </c>
      <c r="E48" t="b">
        <v>1</v>
      </c>
      <c r="F48" t="s">
        <v>186</v>
      </c>
      <c r="G48" s="21">
        <v>45770.738842592589</v>
      </c>
    </row>
    <row r="49" spans="1:7" x14ac:dyDescent="0.35">
      <c r="A49" t="s">
        <v>57</v>
      </c>
      <c r="B49" t="s">
        <v>180</v>
      </c>
      <c r="C49" s="30">
        <v>5129783</v>
      </c>
      <c r="D49" t="b">
        <f t="shared" si="0"/>
        <v>0</v>
      </c>
      <c r="E49" t="b">
        <v>1</v>
      </c>
      <c r="F49" t="s">
        <v>186</v>
      </c>
      <c r="G49" s="21">
        <v>45770.738842592589</v>
      </c>
    </row>
    <row r="50" spans="1:7" x14ac:dyDescent="0.35">
      <c r="A50" t="s">
        <v>57</v>
      </c>
      <c r="B50" t="s">
        <v>55</v>
      </c>
      <c r="C50" s="30">
        <v>5129890</v>
      </c>
      <c r="D50" t="b">
        <f t="shared" si="0"/>
        <v>0</v>
      </c>
      <c r="E50" t="b">
        <v>1</v>
      </c>
      <c r="F50" t="s">
        <v>186</v>
      </c>
      <c r="G50" s="21">
        <v>45770.738842592589</v>
      </c>
    </row>
    <row r="51" spans="1:7" x14ac:dyDescent="0.35">
      <c r="A51" t="s">
        <v>57</v>
      </c>
      <c r="B51" t="s">
        <v>165</v>
      </c>
      <c r="C51" s="30">
        <v>5129814</v>
      </c>
      <c r="D51" t="b">
        <f t="shared" si="0"/>
        <v>0</v>
      </c>
      <c r="E51" t="b">
        <v>1</v>
      </c>
      <c r="F51" t="s">
        <v>186</v>
      </c>
      <c r="G51" s="21">
        <v>45770.738842592589</v>
      </c>
    </row>
    <row r="52" spans="1:7" x14ac:dyDescent="0.35">
      <c r="A52" t="s">
        <v>57</v>
      </c>
      <c r="B52" t="s">
        <v>166</v>
      </c>
      <c r="C52" s="30">
        <v>5129784</v>
      </c>
      <c r="D52" t="b">
        <f t="shared" si="0"/>
        <v>0</v>
      </c>
      <c r="E52" t="b">
        <v>1</v>
      </c>
      <c r="F52" t="s">
        <v>186</v>
      </c>
      <c r="G52" s="21">
        <v>45770.738842592589</v>
      </c>
    </row>
    <row r="53" spans="1:7" x14ac:dyDescent="0.35">
      <c r="A53" t="s">
        <v>57</v>
      </c>
      <c r="B53" t="s">
        <v>58</v>
      </c>
      <c r="C53" s="30">
        <v>5129818</v>
      </c>
      <c r="D53" t="b">
        <f t="shared" si="0"/>
        <v>0</v>
      </c>
      <c r="E53" t="b">
        <v>1</v>
      </c>
      <c r="F53" t="s">
        <v>186</v>
      </c>
      <c r="G53" s="21">
        <v>45770.738842592589</v>
      </c>
    </row>
    <row r="54" spans="1:7" x14ac:dyDescent="0.35">
      <c r="A54" t="s">
        <v>57</v>
      </c>
      <c r="B54" t="s">
        <v>181</v>
      </c>
      <c r="C54" s="30">
        <v>5129811</v>
      </c>
      <c r="D54" t="b">
        <f t="shared" si="0"/>
        <v>0</v>
      </c>
      <c r="E54" t="b">
        <v>1</v>
      </c>
      <c r="F54" t="s">
        <v>186</v>
      </c>
      <c r="G54" s="21">
        <v>45770.738842592589</v>
      </c>
    </row>
    <row r="55" spans="1:7" x14ac:dyDescent="0.35">
      <c r="A55" t="s">
        <v>57</v>
      </c>
      <c r="B55" t="s">
        <v>167</v>
      </c>
      <c r="C55" s="30">
        <v>5129847</v>
      </c>
      <c r="D55" t="b">
        <f t="shared" si="0"/>
        <v>0</v>
      </c>
      <c r="E55" t="b">
        <v>1</v>
      </c>
      <c r="F55" t="s">
        <v>186</v>
      </c>
      <c r="G55" s="21">
        <v>45770.738842592589</v>
      </c>
    </row>
    <row r="56" spans="1:7" x14ac:dyDescent="0.35">
      <c r="A56" t="s">
        <v>57</v>
      </c>
      <c r="B56" t="s">
        <v>60</v>
      </c>
      <c r="C56" s="30">
        <v>5129893</v>
      </c>
      <c r="D56" t="b">
        <f t="shared" si="0"/>
        <v>0</v>
      </c>
      <c r="E56" t="b">
        <v>1</v>
      </c>
      <c r="F56" t="s">
        <v>186</v>
      </c>
      <c r="G56" s="21">
        <v>45770.738842592589</v>
      </c>
    </row>
    <row r="57" spans="1:7" x14ac:dyDescent="0.35">
      <c r="A57" t="s">
        <v>58</v>
      </c>
      <c r="B57" t="s">
        <v>54</v>
      </c>
      <c r="C57" s="30">
        <v>5127880</v>
      </c>
      <c r="D57" t="b">
        <f t="shared" si="0"/>
        <v>0</v>
      </c>
      <c r="E57" t="b">
        <v>1</v>
      </c>
      <c r="F57" t="s">
        <v>186</v>
      </c>
      <c r="G57" s="21">
        <v>45766.535011574073</v>
      </c>
    </row>
    <row r="58" spans="1:7" x14ac:dyDescent="0.35">
      <c r="A58" t="s">
        <v>58</v>
      </c>
      <c r="B58" t="s">
        <v>180</v>
      </c>
      <c r="C58" s="30">
        <v>5127953</v>
      </c>
      <c r="D58" t="b">
        <f t="shared" si="0"/>
        <v>0</v>
      </c>
      <c r="E58" t="b">
        <v>1</v>
      </c>
      <c r="F58" t="s">
        <v>186</v>
      </c>
      <c r="G58" s="21">
        <v>45766.535011574073</v>
      </c>
    </row>
    <row r="59" spans="1:7" x14ac:dyDescent="0.35">
      <c r="A59" t="s">
        <v>58</v>
      </c>
      <c r="B59" t="s">
        <v>55</v>
      </c>
      <c r="C59" s="30">
        <v>5127694</v>
      </c>
      <c r="D59" t="b">
        <f t="shared" si="0"/>
        <v>0</v>
      </c>
      <c r="E59" t="b">
        <v>1</v>
      </c>
      <c r="F59" t="s">
        <v>186</v>
      </c>
      <c r="G59" s="21">
        <v>45766.535011574073</v>
      </c>
    </row>
    <row r="60" spans="1:7" x14ac:dyDescent="0.35">
      <c r="A60" t="s">
        <v>58</v>
      </c>
      <c r="B60" t="s">
        <v>165</v>
      </c>
      <c r="C60" s="30">
        <v>5129251</v>
      </c>
      <c r="D60" t="b">
        <f t="shared" si="0"/>
        <v>0</v>
      </c>
      <c r="E60" t="b">
        <v>1</v>
      </c>
      <c r="F60" t="s">
        <v>186</v>
      </c>
      <c r="G60" s="21">
        <v>45768.417164351849</v>
      </c>
    </row>
    <row r="61" spans="1:7" x14ac:dyDescent="0.35">
      <c r="A61" t="s">
        <v>58</v>
      </c>
      <c r="B61" t="s">
        <v>166</v>
      </c>
      <c r="C61" s="30">
        <v>5127638</v>
      </c>
      <c r="D61" t="b">
        <f t="shared" si="0"/>
        <v>0</v>
      </c>
      <c r="E61" t="b">
        <v>1</v>
      </c>
      <c r="F61" t="s">
        <v>186</v>
      </c>
      <c r="G61" s="21">
        <v>45766.535011574073</v>
      </c>
    </row>
    <row r="62" spans="1:7" x14ac:dyDescent="0.35">
      <c r="A62" t="s">
        <v>58</v>
      </c>
      <c r="B62" t="s">
        <v>57</v>
      </c>
      <c r="C62" s="30">
        <v>5129779</v>
      </c>
      <c r="D62" t="b">
        <f t="shared" si="0"/>
        <v>0</v>
      </c>
      <c r="E62" t="b">
        <v>1</v>
      </c>
      <c r="F62" t="s">
        <v>186</v>
      </c>
      <c r="G62" s="21">
        <v>45770.738842592589</v>
      </c>
    </row>
    <row r="63" spans="1:7" x14ac:dyDescent="0.35">
      <c r="A63" t="s">
        <v>58</v>
      </c>
      <c r="B63" t="s">
        <v>181</v>
      </c>
      <c r="C63" s="30">
        <v>5127729</v>
      </c>
      <c r="D63" t="b">
        <f t="shared" si="0"/>
        <v>0</v>
      </c>
      <c r="E63" t="b">
        <v>1</v>
      </c>
      <c r="F63" t="s">
        <v>186</v>
      </c>
      <c r="G63" s="21">
        <v>45766.535011574073</v>
      </c>
    </row>
    <row r="64" spans="1:7" x14ac:dyDescent="0.35">
      <c r="A64" t="s">
        <v>58</v>
      </c>
      <c r="B64" t="s">
        <v>167</v>
      </c>
      <c r="C64" s="30">
        <v>5127739</v>
      </c>
      <c r="D64" t="b">
        <f t="shared" si="0"/>
        <v>0</v>
      </c>
      <c r="E64" t="b">
        <v>1</v>
      </c>
      <c r="F64" t="s">
        <v>186</v>
      </c>
      <c r="G64" s="21">
        <v>45766.535011574073</v>
      </c>
    </row>
    <row r="65" spans="1:7" x14ac:dyDescent="0.35">
      <c r="A65" t="s">
        <v>58</v>
      </c>
      <c r="B65" t="s">
        <v>60</v>
      </c>
      <c r="C65" s="30">
        <v>5127642</v>
      </c>
      <c r="D65" t="b">
        <f t="shared" si="0"/>
        <v>0</v>
      </c>
      <c r="E65" t="b">
        <v>1</v>
      </c>
      <c r="F65" t="s">
        <v>186</v>
      </c>
      <c r="G65" s="21">
        <v>45766.535011574073</v>
      </c>
    </row>
    <row r="66" spans="1:7" x14ac:dyDescent="0.35">
      <c r="A66" t="s">
        <v>181</v>
      </c>
      <c r="B66" t="s">
        <v>54</v>
      </c>
      <c r="C66" s="30">
        <v>5127882</v>
      </c>
      <c r="D66" t="b">
        <f t="shared" si="0"/>
        <v>0</v>
      </c>
      <c r="E66" t="b">
        <v>1</v>
      </c>
      <c r="F66" t="s">
        <v>186</v>
      </c>
      <c r="G66" s="21">
        <v>45766.535011574073</v>
      </c>
    </row>
    <row r="67" spans="1:7" x14ac:dyDescent="0.35">
      <c r="A67" t="s">
        <v>181</v>
      </c>
      <c r="B67" t="s">
        <v>180</v>
      </c>
      <c r="C67" s="30">
        <v>5127951</v>
      </c>
      <c r="D67" t="b">
        <f t="shared" ref="D67:D94" si="1">IF(EXACT(A66 &amp; B66,A67&amp;B67),TRUE,FALSE)</f>
        <v>0</v>
      </c>
      <c r="E67" t="b">
        <v>1</v>
      </c>
      <c r="F67" t="s">
        <v>186</v>
      </c>
      <c r="G67" s="21">
        <v>45766.535011574073</v>
      </c>
    </row>
    <row r="68" spans="1:7" x14ac:dyDescent="0.35">
      <c r="A68" t="s">
        <v>181</v>
      </c>
      <c r="B68" t="s">
        <v>55</v>
      </c>
      <c r="C68" s="30">
        <v>5128840</v>
      </c>
      <c r="D68" t="b">
        <f t="shared" si="1"/>
        <v>0</v>
      </c>
      <c r="E68" t="b">
        <v>1</v>
      </c>
      <c r="F68" t="s">
        <v>186</v>
      </c>
      <c r="G68" s="21">
        <v>45767.625937500001</v>
      </c>
    </row>
    <row r="69" spans="1:7" x14ac:dyDescent="0.35">
      <c r="A69" t="s">
        <v>181</v>
      </c>
      <c r="B69" t="s">
        <v>165</v>
      </c>
      <c r="C69" s="30">
        <v>5129249</v>
      </c>
      <c r="D69" t="b">
        <f t="shared" si="1"/>
        <v>0</v>
      </c>
      <c r="E69" t="b">
        <v>1</v>
      </c>
      <c r="F69" t="s">
        <v>186</v>
      </c>
      <c r="G69" s="21">
        <v>45768.417164351849</v>
      </c>
    </row>
    <row r="70" spans="1:7" x14ac:dyDescent="0.35">
      <c r="A70" t="s">
        <v>181</v>
      </c>
      <c r="B70" t="s">
        <v>166</v>
      </c>
      <c r="C70" s="30">
        <v>5127847</v>
      </c>
      <c r="D70" t="b">
        <f t="shared" si="1"/>
        <v>0</v>
      </c>
      <c r="E70" t="b">
        <v>1</v>
      </c>
      <c r="F70" t="s">
        <v>186</v>
      </c>
      <c r="G70" s="21">
        <v>45766.535011574073</v>
      </c>
    </row>
    <row r="71" spans="1:7" x14ac:dyDescent="0.35">
      <c r="A71" t="s">
        <v>181</v>
      </c>
      <c r="B71" t="s">
        <v>58</v>
      </c>
      <c r="C71" s="30">
        <v>5127824</v>
      </c>
      <c r="D71" t="b">
        <f t="shared" si="1"/>
        <v>0</v>
      </c>
      <c r="E71" t="b">
        <v>1</v>
      </c>
      <c r="F71" t="s">
        <v>186</v>
      </c>
      <c r="G71" s="21">
        <v>45766.535011574073</v>
      </c>
    </row>
    <row r="72" spans="1:7" x14ac:dyDescent="0.35">
      <c r="A72" t="s">
        <v>181</v>
      </c>
      <c r="B72" t="s">
        <v>167</v>
      </c>
      <c r="C72" s="30">
        <v>5127836</v>
      </c>
      <c r="D72" t="b">
        <f t="shared" si="1"/>
        <v>0</v>
      </c>
      <c r="E72" t="b">
        <v>1</v>
      </c>
      <c r="F72" t="s">
        <v>186</v>
      </c>
      <c r="G72" s="21">
        <v>45766.535011574073</v>
      </c>
    </row>
    <row r="73" spans="1:7" x14ac:dyDescent="0.35">
      <c r="A73" t="s">
        <v>181</v>
      </c>
      <c r="B73" t="s">
        <v>60</v>
      </c>
      <c r="C73" s="30">
        <v>5128299</v>
      </c>
      <c r="D73" t="b">
        <f t="shared" si="1"/>
        <v>0</v>
      </c>
      <c r="E73" t="b">
        <v>1</v>
      </c>
      <c r="F73" t="s">
        <v>186</v>
      </c>
      <c r="G73" s="21">
        <v>45767.625937500001</v>
      </c>
    </row>
    <row r="74" spans="1:7" x14ac:dyDescent="0.35">
      <c r="A74" t="s">
        <v>167</v>
      </c>
      <c r="B74" t="s">
        <v>54</v>
      </c>
      <c r="C74" s="30">
        <v>5127879</v>
      </c>
      <c r="D74" t="b">
        <f t="shared" si="1"/>
        <v>0</v>
      </c>
      <c r="E74" t="b">
        <v>1</v>
      </c>
      <c r="F74" t="s">
        <v>186</v>
      </c>
      <c r="G74" s="21">
        <v>45766.535011574073</v>
      </c>
    </row>
    <row r="75" spans="1:7" x14ac:dyDescent="0.35">
      <c r="A75" t="s">
        <v>167</v>
      </c>
      <c r="B75" t="s">
        <v>180</v>
      </c>
      <c r="C75" s="30">
        <v>5127952</v>
      </c>
      <c r="D75" t="b">
        <f t="shared" si="1"/>
        <v>0</v>
      </c>
      <c r="E75" t="b">
        <v>1</v>
      </c>
      <c r="F75" t="s">
        <v>186</v>
      </c>
      <c r="G75" s="21">
        <v>45766.535011574073</v>
      </c>
    </row>
    <row r="76" spans="1:7" x14ac:dyDescent="0.35">
      <c r="A76" t="s">
        <v>167</v>
      </c>
      <c r="B76" t="s">
        <v>55</v>
      </c>
      <c r="C76" s="30">
        <v>5128843</v>
      </c>
      <c r="D76" t="b">
        <f t="shared" si="1"/>
        <v>0</v>
      </c>
      <c r="E76" t="b">
        <v>1</v>
      </c>
      <c r="F76" t="s">
        <v>186</v>
      </c>
      <c r="G76" s="21">
        <v>45767.625937500001</v>
      </c>
    </row>
    <row r="77" spans="1:7" x14ac:dyDescent="0.35">
      <c r="A77" t="s">
        <v>167</v>
      </c>
      <c r="B77" t="s">
        <v>165</v>
      </c>
      <c r="C77" s="30">
        <v>5129252</v>
      </c>
      <c r="D77" t="b">
        <f t="shared" si="1"/>
        <v>0</v>
      </c>
      <c r="E77" t="b">
        <v>1</v>
      </c>
      <c r="F77" t="s">
        <v>186</v>
      </c>
      <c r="G77" s="21">
        <v>45768.417164351849</v>
      </c>
    </row>
    <row r="78" spans="1:7" x14ac:dyDescent="0.35">
      <c r="A78" t="s">
        <v>167</v>
      </c>
      <c r="B78" t="s">
        <v>166</v>
      </c>
      <c r="C78" s="30">
        <v>5127848</v>
      </c>
      <c r="D78" t="b">
        <f t="shared" si="1"/>
        <v>0</v>
      </c>
      <c r="E78" t="b">
        <v>1</v>
      </c>
      <c r="F78" t="s">
        <v>186</v>
      </c>
      <c r="G78" s="21">
        <v>45766.535011574073</v>
      </c>
    </row>
    <row r="79" spans="1:7" x14ac:dyDescent="0.35">
      <c r="A79" t="s">
        <v>167</v>
      </c>
      <c r="B79" t="s">
        <v>58</v>
      </c>
      <c r="C79" s="30">
        <v>5127778</v>
      </c>
      <c r="D79" t="b">
        <f t="shared" si="1"/>
        <v>0</v>
      </c>
      <c r="E79" t="b">
        <v>1</v>
      </c>
      <c r="F79" t="s">
        <v>186</v>
      </c>
      <c r="G79" s="21">
        <v>45766.535011574073</v>
      </c>
    </row>
    <row r="80" spans="1:7" x14ac:dyDescent="0.35">
      <c r="A80" t="s">
        <v>167</v>
      </c>
      <c r="B80" t="s">
        <v>181</v>
      </c>
      <c r="C80" s="30">
        <v>5127781</v>
      </c>
      <c r="D80" t="b">
        <f t="shared" si="1"/>
        <v>0</v>
      </c>
      <c r="E80" t="b">
        <v>1</v>
      </c>
      <c r="F80" t="s">
        <v>186</v>
      </c>
      <c r="G80" s="21">
        <v>45766.535011574073</v>
      </c>
    </row>
    <row r="81" spans="1:7" x14ac:dyDescent="0.35">
      <c r="A81" t="s">
        <v>167</v>
      </c>
      <c r="B81" t="s">
        <v>60</v>
      </c>
      <c r="C81" s="30">
        <v>5128297</v>
      </c>
      <c r="D81" t="b">
        <f t="shared" si="1"/>
        <v>0</v>
      </c>
      <c r="E81" t="b">
        <v>1</v>
      </c>
      <c r="F81" t="s">
        <v>186</v>
      </c>
      <c r="G81" s="21">
        <v>45767.625937500001</v>
      </c>
    </row>
    <row r="82" spans="1:7" x14ac:dyDescent="0.35">
      <c r="A82" t="s">
        <v>60</v>
      </c>
      <c r="B82" t="s">
        <v>54</v>
      </c>
      <c r="C82" s="30">
        <v>5127881</v>
      </c>
      <c r="D82" t="b">
        <f t="shared" si="1"/>
        <v>0</v>
      </c>
      <c r="E82" t="b">
        <v>1</v>
      </c>
      <c r="F82" t="s">
        <v>186</v>
      </c>
      <c r="G82" s="21">
        <v>45766.535011574073</v>
      </c>
    </row>
    <row r="83" spans="1:7" x14ac:dyDescent="0.35">
      <c r="A83" t="s">
        <v>60</v>
      </c>
      <c r="B83" t="s">
        <v>180</v>
      </c>
      <c r="C83" s="30">
        <v>5127954</v>
      </c>
      <c r="D83" t="b">
        <f t="shared" si="1"/>
        <v>0</v>
      </c>
      <c r="E83" t="b">
        <v>1</v>
      </c>
      <c r="F83" s="64" t="s">
        <v>188</v>
      </c>
      <c r="G83" s="21">
        <v>45766.535011574073</v>
      </c>
    </row>
    <row r="84" spans="1:7" x14ac:dyDescent="0.35">
      <c r="A84" t="s">
        <v>60</v>
      </c>
      <c r="B84" t="s">
        <v>180</v>
      </c>
      <c r="C84" s="30">
        <v>5127955</v>
      </c>
      <c r="D84" t="b">
        <f t="shared" si="1"/>
        <v>1</v>
      </c>
      <c r="E84" t="b">
        <v>1</v>
      </c>
      <c r="F84" s="64" t="s">
        <v>186</v>
      </c>
      <c r="G84" s="21">
        <v>45766.535011574073</v>
      </c>
    </row>
    <row r="85" spans="1:7" x14ac:dyDescent="0.35">
      <c r="A85" t="s">
        <v>60</v>
      </c>
      <c r="B85" t="s">
        <v>55</v>
      </c>
      <c r="C85" s="30">
        <v>5127695</v>
      </c>
      <c r="D85" t="b">
        <f t="shared" si="1"/>
        <v>0</v>
      </c>
      <c r="E85" t="b">
        <v>1</v>
      </c>
      <c r="F85" s="64" t="s">
        <v>186</v>
      </c>
      <c r="G85" s="21">
        <v>45766.535011574073</v>
      </c>
    </row>
    <row r="86" spans="1:7" x14ac:dyDescent="0.35">
      <c r="A86" t="s">
        <v>60</v>
      </c>
      <c r="B86" t="s">
        <v>55</v>
      </c>
      <c r="C86" s="30">
        <v>5127696</v>
      </c>
      <c r="D86" t="b">
        <f t="shared" si="1"/>
        <v>1</v>
      </c>
      <c r="E86" t="b">
        <v>1</v>
      </c>
      <c r="F86" s="64" t="s">
        <v>188</v>
      </c>
      <c r="G86" s="21">
        <v>45766.535011574073</v>
      </c>
    </row>
    <row r="87" spans="1:7" x14ac:dyDescent="0.35">
      <c r="A87" t="s">
        <v>60</v>
      </c>
      <c r="B87" t="s">
        <v>165</v>
      </c>
      <c r="C87" s="30">
        <v>5129253</v>
      </c>
      <c r="D87" t="b">
        <f t="shared" si="1"/>
        <v>0</v>
      </c>
      <c r="E87" t="b">
        <v>1</v>
      </c>
      <c r="F87" t="s">
        <v>186</v>
      </c>
      <c r="G87" s="21">
        <v>45768.417164351849</v>
      </c>
    </row>
    <row r="88" spans="1:7" x14ac:dyDescent="0.35">
      <c r="A88" t="s">
        <v>60</v>
      </c>
      <c r="B88" t="s">
        <v>166</v>
      </c>
      <c r="C88" s="30">
        <v>5127626</v>
      </c>
      <c r="D88" t="b">
        <f t="shared" si="1"/>
        <v>0</v>
      </c>
      <c r="E88" t="b">
        <v>1</v>
      </c>
      <c r="F88" t="s">
        <v>186</v>
      </c>
      <c r="G88" s="21">
        <v>45766.057106481479</v>
      </c>
    </row>
    <row r="89" spans="1:7" x14ac:dyDescent="0.35">
      <c r="A89" t="s">
        <v>60</v>
      </c>
      <c r="B89" t="s">
        <v>58</v>
      </c>
      <c r="C89" s="30">
        <v>5127635</v>
      </c>
      <c r="D89" t="b">
        <f t="shared" si="1"/>
        <v>0</v>
      </c>
      <c r="E89" t="b">
        <v>1</v>
      </c>
      <c r="F89" t="s">
        <v>186</v>
      </c>
      <c r="G89" s="21">
        <v>45766.057106481479</v>
      </c>
    </row>
    <row r="90" spans="1:7" x14ac:dyDescent="0.35">
      <c r="A90" t="s">
        <v>60</v>
      </c>
      <c r="B90" t="s">
        <v>181</v>
      </c>
      <c r="C90" s="30">
        <v>5127730</v>
      </c>
      <c r="D90" t="b">
        <f t="shared" si="1"/>
        <v>0</v>
      </c>
      <c r="E90" t="b">
        <v>1</v>
      </c>
      <c r="F90" t="s">
        <v>186</v>
      </c>
      <c r="G90" s="21">
        <v>45766.535011574073</v>
      </c>
    </row>
    <row r="91" spans="1:7" x14ac:dyDescent="0.35">
      <c r="A91" t="s">
        <v>60</v>
      </c>
      <c r="B91" t="s">
        <v>167</v>
      </c>
      <c r="C91" s="30">
        <v>5127740</v>
      </c>
      <c r="D91" t="b">
        <f t="shared" si="1"/>
        <v>0</v>
      </c>
      <c r="E91" t="b">
        <v>1</v>
      </c>
      <c r="F91" t="s">
        <v>186</v>
      </c>
      <c r="G91" s="21">
        <v>45766.535011574073</v>
      </c>
    </row>
    <row r="92" spans="1:7" x14ac:dyDescent="0.35">
      <c r="A92" t="s">
        <v>181</v>
      </c>
      <c r="B92" t="s">
        <v>57</v>
      </c>
      <c r="C92" s="30">
        <v>5129776</v>
      </c>
      <c r="D92" t="b">
        <f t="shared" si="1"/>
        <v>0</v>
      </c>
      <c r="E92" t="b">
        <v>1</v>
      </c>
      <c r="F92" t="s">
        <v>186</v>
      </c>
      <c r="G92" s="21">
        <v>45770.738842592589</v>
      </c>
    </row>
    <row r="93" spans="1:7" x14ac:dyDescent="0.35">
      <c r="A93" t="s">
        <v>167</v>
      </c>
      <c r="B93" t="s">
        <v>57</v>
      </c>
      <c r="C93" s="30">
        <v>5129774</v>
      </c>
      <c r="D93" t="b">
        <f t="shared" si="1"/>
        <v>0</v>
      </c>
      <c r="E93" t="b">
        <v>1</v>
      </c>
      <c r="F93" t="s">
        <v>186</v>
      </c>
      <c r="G93" s="21">
        <v>45770.738842592589</v>
      </c>
    </row>
    <row r="94" spans="1:7" x14ac:dyDescent="0.35">
      <c r="A94" t="s">
        <v>60</v>
      </c>
      <c r="B94" t="s">
        <v>57</v>
      </c>
      <c r="C94" s="30">
        <v>5129775</v>
      </c>
      <c r="D94" t="b">
        <f t="shared" si="1"/>
        <v>0</v>
      </c>
      <c r="E94" t="b">
        <v>1</v>
      </c>
      <c r="F94" t="s">
        <v>186</v>
      </c>
      <c r="G94" s="21">
        <v>45770.738842592589</v>
      </c>
    </row>
  </sheetData>
  <autoFilter ref="A1:G94" xr:uid="{539665B3-6BFA-4921-9F7D-557EBD324EDA}"/>
  <sortState xmlns:xlrd2="http://schemas.microsoft.com/office/spreadsheetml/2017/richdata2" ref="A2:G91">
    <sortCondition ref="A1:A1048576"/>
    <sortCondition ref="B1:B1048576"/>
    <sortCondition ref="C1:C1048576"/>
  </sortState>
  <hyperlinks>
    <hyperlink ref="C88" r:id="rId1" location="end" display="5127626" xr:uid="{BACD692A-02C6-45CA-94C4-E9466D85E7A1}"/>
    <hyperlink ref="C89" r:id="rId2" location="end" display="5127635" xr:uid="{0BCDD8C4-A5EF-4824-83E0-5BE637D322CE}"/>
    <hyperlink ref="C11" r:id="rId3" location="end" display="5127964" xr:uid="{49C375E8-BBE2-4AEC-A8C5-946FCA3540FF}"/>
    <hyperlink ref="C14" r:id="rId4" location="end" display="5127966" xr:uid="{52AF7A4F-9BF4-45EC-BCD3-2314AEADF073}"/>
    <hyperlink ref="C16" r:id="rId5" location="end" display="5127974" xr:uid="{43A61361-35B8-4C92-BBB6-BC949540337B}"/>
    <hyperlink ref="C61" r:id="rId6" location="end" display="5127638" xr:uid="{87D6070E-7D5D-4341-BD08-310A96ECDF2B}"/>
    <hyperlink ref="C65" r:id="rId7" location="end" display="5127642" xr:uid="{2403DECD-D5CA-428E-971B-B19A7B4F4859}"/>
    <hyperlink ref="C59" r:id="rId8" location="end" display="5127694" xr:uid="{D08AF765-607A-48CD-BCFB-7FBEA33E970C}"/>
    <hyperlink ref="C63" r:id="rId9" location="end" display="5127729" xr:uid="{6812D9D1-6CFE-4EC5-B7AA-36979EB2B0DF}"/>
    <hyperlink ref="C64" r:id="rId10" location="end" display="5127739" xr:uid="{9CB33911-F4A3-4E3A-BEAF-6B5960821A9A}"/>
    <hyperlink ref="C57" r:id="rId11" location="end" display="5127880" xr:uid="{C1F1B9DE-7E3E-4CD5-BA4D-2C31AE138E9A}"/>
    <hyperlink ref="C58" r:id="rId12" location="end" display="5127953" xr:uid="{B5CC2201-B6EF-4C86-ACAC-023DFF80A129}"/>
    <hyperlink ref="C71" r:id="rId13" location="end" display="5127824" xr:uid="{FEB5172E-8F68-4BD2-8884-FCE90C96D356}"/>
    <hyperlink ref="C72" r:id="rId14" location="end" display="5127836" xr:uid="{B58AF72B-603A-41FF-820F-F94E55ABF17F}"/>
    <hyperlink ref="C70" r:id="rId15" location="end" display="5127847" xr:uid="{2F5CCC6C-74BF-4CA8-B789-EB1CFBEB240A}"/>
    <hyperlink ref="C66" r:id="rId16" location="end" display="5127882" xr:uid="{E1E60451-3AFB-4894-81A2-6B090C81C3A6}"/>
    <hyperlink ref="C67" r:id="rId17" location="end" display="5127951" xr:uid="{11BBB0AD-D1BE-484B-BBA9-F158520230AC}"/>
    <hyperlink ref="C79" r:id="rId18" location="end" display="5127778" xr:uid="{A52EE18F-CDA7-4C53-985B-26E7CBDFF91F}"/>
    <hyperlink ref="C80" r:id="rId19" location="end" display="5127781" xr:uid="{D64ECD9C-8E0F-42D2-A1ED-8E372744CB47}"/>
    <hyperlink ref="C78" r:id="rId20" location="end" display="5127848" xr:uid="{ADED3AE3-090D-4BE1-92E4-29EED3263E02}"/>
    <hyperlink ref="C74" r:id="rId21" location="end" display="5127879" xr:uid="{F2BADEAE-45D7-4747-8879-258CD36C4080}"/>
    <hyperlink ref="C75" r:id="rId22" location="end" display="5127952" xr:uid="{37B7BA5E-DF0F-4EB7-B1A2-FE7EFC0E22F7}"/>
    <hyperlink ref="C85" r:id="rId23" location="end" display="5127695" xr:uid="{80C6E510-6551-46C0-BB74-2C4A10B46035}"/>
    <hyperlink ref="C86" r:id="rId24" location="end" display="5127696" xr:uid="{614FBE67-8651-4351-80E3-537DCC18D296}"/>
    <hyperlink ref="C90" r:id="rId25" location="end" display="5127730" xr:uid="{C8024C8A-A1B9-4FC8-B02E-30FF8A798AF3}"/>
    <hyperlink ref="C91" r:id="rId26" location="end" display="5127740" xr:uid="{FD8ED2A9-F63F-400B-8E3A-B034DA7C138D}"/>
    <hyperlink ref="C82" r:id="rId27" location="end" display="5127881" xr:uid="{5142A57D-835D-4C66-A5D4-9571CFA00222}"/>
    <hyperlink ref="C83" r:id="rId28" location="end" display="5127954" xr:uid="{D89A2005-2B1B-4585-AF9A-0D6F4CBC0630}"/>
    <hyperlink ref="C84" r:id="rId29" location="end" display="5127955" xr:uid="{AD566A73-44ED-4766-AAB6-48E2F7C44866}"/>
    <hyperlink ref="C5" r:id="rId30" location="end" display="5128877" xr:uid="{C6B06C20-7241-4C01-A3A3-8A75D8CC1ABE}"/>
    <hyperlink ref="C18" r:id="rId31" location="end" display="5128151" xr:uid="{A570F499-935C-49CC-8714-75F97A719021}"/>
    <hyperlink ref="C17" r:id="rId32" location="end" display="5128155" xr:uid="{4B030F9C-A7E1-4795-8465-7438746C014E}"/>
    <hyperlink ref="C19" r:id="rId33" location="end" display="5128298" xr:uid="{ECD43772-2E0D-4037-816F-96E2E1EF1B75}"/>
    <hyperlink ref="C12" r:id="rId34" location="end" display="5128842" xr:uid="{86973C89-1ECF-40CC-9342-B4C7D9723DD1}"/>
    <hyperlink ref="C47" r:id="rId35" location="end" display="5128296" xr:uid="{8B00CC9F-F3DD-4475-AFEB-724F5CC0A7C1}"/>
    <hyperlink ref="C40" r:id="rId36" location="end" display="5128316" xr:uid="{C530F437-6DD9-4555-8946-80041650C43F}"/>
    <hyperlink ref="C46" r:id="rId37" location="end" display="5128413" xr:uid="{12023E3E-6C4D-4C39-96F7-673B03A8C3AE}"/>
    <hyperlink ref="C44" r:id="rId38" location="end" display="5128591" xr:uid="{53620768-8019-45DD-8618-E0CE30E2519D}"/>
    <hyperlink ref="C39" r:id="rId39" location="end" display="5128614" xr:uid="{DD791A22-83BD-490D-AA7E-A6F06E369C41}"/>
    <hyperlink ref="C45" r:id="rId40" location="end" display="5128707" xr:uid="{353C0647-44F6-4749-AE3A-9416FA6FAD94}"/>
    <hyperlink ref="C41" r:id="rId41" location="end" display="5128844" xr:uid="{E70A6ECD-5D33-41A4-A502-6B487C20D286}"/>
    <hyperlink ref="C73" r:id="rId42" location="end" display="5128299" xr:uid="{7F925979-46A2-4EDA-8157-B81B77772ADE}"/>
    <hyperlink ref="C68" r:id="rId43" location="end" display="5128840" xr:uid="{B67227A5-0D4B-4774-B670-FD7982A99C88}"/>
    <hyperlink ref="C81" r:id="rId44" location="end" display="5128297" xr:uid="{FE0CE3A6-B79A-4481-AE35-A6350BDD9C34}"/>
    <hyperlink ref="C76" r:id="rId45" location="end" display="5128843" xr:uid="{95A65310-7EAA-47C6-99FB-48CEB4FE5BE5}"/>
    <hyperlink ref="C10" r:id="rId46" location="end" display="5128885" xr:uid="{16D428DE-C346-4B8A-B70F-92971AD041DC}"/>
    <hyperlink ref="C2" r:id="rId47" location="end" display="5128914" xr:uid="{D510D7F3-1637-4D1C-AC04-3104352FA44D}"/>
    <hyperlink ref="C8" r:id="rId48" location="end" display="5128973" xr:uid="{9E3E3582-0422-4495-A0AA-008B181F0E70}"/>
    <hyperlink ref="C9" r:id="rId49" location="end" display="5128981" xr:uid="{06CA94D7-BEC8-4D4F-94A3-3427C5031204}"/>
    <hyperlink ref="C7" r:id="rId50" location="end" display="5129063" xr:uid="{7EC9A7B8-33B3-4010-9C4E-D8C22740B243}"/>
    <hyperlink ref="C3" r:id="rId51" location="end" display="5129113" xr:uid="{0537AB32-28A2-46C9-9119-09C383B22A2F}"/>
    <hyperlink ref="C4" r:id="rId52" location="end" display="5129255" xr:uid="{02937ECE-4B88-472A-AF9E-B258851747A7}"/>
    <hyperlink ref="C13" r:id="rId53" location="end" display="5129250" xr:uid="{2DD47AA9-49A4-4870-BC3B-9893D9B76120}"/>
    <hyperlink ref="C30" r:id="rId54" location="end" display="5129257" xr:uid="{ADB2DEDE-7B80-408A-B9F2-D87634FD7FF0}"/>
    <hyperlink ref="C36" r:id="rId55" location="end" display="5129258" xr:uid="{3B687EAF-E25B-4C22-9145-2D7A7831C2EE}"/>
    <hyperlink ref="C37" r:id="rId56" location="end" display="5129260" xr:uid="{EDE32D0B-4B98-464E-9501-19006824C41F}"/>
    <hyperlink ref="C33" r:id="rId57" location="end" display="5129261" xr:uid="{D9C6D000-D318-478F-9FD5-B89104AFA423}"/>
    <hyperlink ref="C42" r:id="rId58" location="end" display="5129254" xr:uid="{D0A135E3-8519-42BF-ABAF-E55ABB883F23}"/>
    <hyperlink ref="C60" r:id="rId59" location="end" display="5129251" xr:uid="{5EECD322-95AF-44C7-BA84-F29D95BBE619}"/>
    <hyperlink ref="C69" r:id="rId60" location="end" display="5129249" xr:uid="{CED61F97-1BAF-4625-A72F-C7E4252220EE}"/>
    <hyperlink ref="C77" r:id="rId61" location="end" display="5129252" xr:uid="{B4B9B009-D70C-43C1-B9DD-25B57C5F6073}"/>
    <hyperlink ref="C87" r:id="rId62" location="end" display="5129253" xr:uid="{7473DE8A-C83F-43A7-9574-B2066254A882}"/>
    <hyperlink ref="C6" r:id="rId63" location="end" display="5129780" xr:uid="{2700258C-3C50-41D8-ADF5-8DF0352FAC57}"/>
    <hyperlink ref="C15" r:id="rId64" location="end" display="5129781" xr:uid="{43390626-3DB0-4E8D-A894-676CDA7D2547}"/>
    <hyperlink ref="C27" r:id="rId65" location="end" display="5129661" xr:uid="{0868DC67-0D5B-4CC0-9F8D-9DC397AFFD2B}"/>
    <hyperlink ref="C28" r:id="rId66" location="end" display="5129665" xr:uid="{A9E38D09-37EF-4933-8468-983FD885D6D3}"/>
    <hyperlink ref="C25" r:id="rId67" location="end" display="5129693" xr:uid="{5BB8C80F-F741-47C2-9FD8-AC93E0926DC1}"/>
    <hyperlink ref="C23" r:id="rId68" location="end" display="5129712" xr:uid="{43916DCF-575E-42CE-8591-8C642C7F2B86}"/>
    <hyperlink ref="C26" r:id="rId69" location="end" display="5129718" xr:uid="{71652944-29CB-4F34-AAF0-55E5085F2BB9}"/>
    <hyperlink ref="C21" r:id="rId70" location="end" display="5129729" xr:uid="{EFEA9D26-3493-41FE-8029-FAD0CFD6BCFF}"/>
    <hyperlink ref="C24" r:id="rId71" location="end" display="5129778" xr:uid="{2448DAF5-9CD1-4DDA-87DF-83A7C9B0849B}"/>
    <hyperlink ref="C20" r:id="rId72" location="end" display="5129788" xr:uid="{57FA69F9-63C8-41DE-901D-62F72741CF45}"/>
    <hyperlink ref="C22" r:id="rId73" location="end" display="5129815" xr:uid="{75B84570-57E7-46DE-80AD-35A3C8DC0D5E}"/>
    <hyperlink ref="C35" r:id="rId74" location="end" display="5129275" xr:uid="{C5F75E87-26F4-43FF-84AF-29AB8A8B1E11}"/>
    <hyperlink ref="C29" r:id="rId75" location="end" display="5129278" xr:uid="{DA9E9C61-A1A5-486E-B24F-83A3DC4F481A}"/>
    <hyperlink ref="C38" r:id="rId76" location="end" display="5129355" xr:uid="{638089AA-669C-4D6F-ADE9-ADD938FCC2BF}"/>
    <hyperlink ref="C31" r:id="rId77" location="end" display="5129615" xr:uid="{99D403C0-1562-4BB7-9B4A-41210BCC2D4B}"/>
    <hyperlink ref="C34" r:id="rId78" location="end" display="5129782" xr:uid="{8D20738D-924B-4736-9ED6-3D37957A5D2C}"/>
    <hyperlink ref="C32" r:id="rId79" location="end" display="5129616" xr:uid="{71C89CC0-6F69-44C3-8937-96CA5FC62B7D}"/>
    <hyperlink ref="C43" r:id="rId80" location="end" display="5129777" xr:uid="{509E54F5-2C73-4C8F-BA5A-DFDE85354712}"/>
    <hyperlink ref="C49" r:id="rId81" location="end" display="5129783" xr:uid="{83239926-5465-4A10-97AF-63C629B757DD}"/>
    <hyperlink ref="C52" r:id="rId82" location="end" display="5129784" xr:uid="{7E1E4D00-179A-464D-872E-41851606D369}"/>
    <hyperlink ref="C48" r:id="rId83" location="end" display="5129789" xr:uid="{935C77BB-525C-4FF4-B2FA-99117E7B5D3C}"/>
    <hyperlink ref="C54" r:id="rId84" location="end" display="5129811" xr:uid="{E1B42B95-8CC0-4C8D-9550-83760851A7DD}"/>
    <hyperlink ref="C51" r:id="rId85" location="end" display="5129814" xr:uid="{FCF851DE-4AD8-484E-8E2D-BF2039DC40F9}"/>
    <hyperlink ref="C53" r:id="rId86" location="end" display="5129818" xr:uid="{18ABABCF-07B4-4529-A4DE-41B5E213F38B}"/>
    <hyperlink ref="C55" r:id="rId87" location="end" display="5129847" xr:uid="{DCB56D90-C4BA-4E01-8660-1C4E55E8A87D}"/>
    <hyperlink ref="C50" r:id="rId88" location="end" display="5129890" xr:uid="{4A5682B7-D554-49C6-B133-60B01FB27F68}"/>
    <hyperlink ref="C56" r:id="rId89" location="end" display="5129893" xr:uid="{A4BBF8C7-0828-4B16-A1A2-00651B862464}"/>
    <hyperlink ref="C62" r:id="rId90" location="end" display="5129779" xr:uid="{39645F5F-09B6-4353-9F60-56C1C2128E6B}"/>
    <hyperlink ref="C92" r:id="rId91" location="end" display="5129776" xr:uid="{FEA2D797-5D24-499D-BF48-03ACA9A29B22}"/>
    <hyperlink ref="C93" r:id="rId92" location="end" display="5129774" xr:uid="{5A01B146-AE1F-450F-81E6-C80EF490AA90}"/>
    <hyperlink ref="C94" r:id="rId93" location="end" display="5129775" xr:uid="{B9348EE7-3BFB-4E8F-B274-D62E99B12F2F}"/>
  </hyperlink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EFB2E-0A47-406B-AFFC-60B8746F0F0E}">
  <sheetPr codeName="Tabelle5"/>
  <dimension ref="A1:F2"/>
  <sheetViews>
    <sheetView workbookViewId="0">
      <selection activeCell="C2" sqref="C2"/>
    </sheetView>
  </sheetViews>
  <sheetFormatPr baseColWidth="10" defaultColWidth="11.453125" defaultRowHeight="14.5" x14ac:dyDescent="0.35"/>
  <cols>
    <col min="1" max="1" width="6" bestFit="1" customWidth="1"/>
    <col min="2" max="2" width="12.6328125" bestFit="1" customWidth="1"/>
    <col min="3" max="3" width="14.6328125" bestFit="1" customWidth="1"/>
    <col min="4" max="4" width="12.6328125" bestFit="1" customWidth="1"/>
    <col min="5" max="5" width="15" style="6" bestFit="1" customWidth="1"/>
    <col min="6" max="6" width="17" bestFit="1" customWidth="1"/>
  </cols>
  <sheetData>
    <row r="1" spans="1:6" x14ac:dyDescent="0.35">
      <c r="A1" t="s">
        <v>13</v>
      </c>
      <c r="B1" t="s">
        <v>20</v>
      </c>
      <c r="C1" t="s">
        <v>16</v>
      </c>
      <c r="D1" t="s">
        <v>17</v>
      </c>
      <c r="E1" t="s">
        <v>18</v>
      </c>
      <c r="F1" s="6" t="s">
        <v>19</v>
      </c>
    </row>
    <row r="2" spans="1:6" x14ac:dyDescent="0.35">
      <c r="A2" t="s">
        <v>21</v>
      </c>
      <c r="B2">
        <f>COUNTA(Players!A:A)-1</f>
        <v>9</v>
      </c>
      <c r="C2">
        <f>(B2-1)*2</f>
        <v>16</v>
      </c>
      <c r="D2">
        <f>NoOfPlayers*(NoOfPlayers-1)</f>
        <v>72</v>
      </c>
      <c r="E2" s="20">
        <f>Table!K13/2</f>
        <v>0</v>
      </c>
      <c r="F2" s="6">
        <f>E2*100/D2/100</f>
        <v>0</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57CC1-37FA-4763-9FF9-8E3361C94375}">
  <sheetPr codeName="Tabelle12" filterMode="1"/>
  <dimension ref="A1:N188"/>
  <sheetViews>
    <sheetView zoomScaleNormal="100" workbookViewId="0">
      <pane ySplit="1" topLeftCell="A70" activePane="bottomLeft" state="frozen"/>
      <selection pane="bottomLeft" activeCell="B70" sqref="B70"/>
    </sheetView>
  </sheetViews>
  <sheetFormatPr baseColWidth="10" defaultColWidth="84.6328125" defaultRowHeight="14.5" x14ac:dyDescent="0.35"/>
  <cols>
    <col min="1" max="1" width="5.6328125" bestFit="1" customWidth="1"/>
    <col min="2" max="2" width="13.54296875" bestFit="1" customWidth="1"/>
    <col min="3" max="3" width="8.08984375" bestFit="1" customWidth="1"/>
    <col min="4" max="4" width="9.08984375" bestFit="1" customWidth="1"/>
    <col min="5" max="5" width="7.08984375" bestFit="1" customWidth="1"/>
    <col min="6" max="6" width="8.36328125" bestFit="1" customWidth="1"/>
    <col min="7" max="7" width="14.36328125" bestFit="1" customWidth="1"/>
    <col min="8" max="8" width="12.36328125" bestFit="1" customWidth="1"/>
    <col min="9" max="9" width="14.36328125" bestFit="1" customWidth="1"/>
    <col min="10" max="10" width="23.90625" bestFit="1" customWidth="1"/>
    <col min="11" max="11" width="13.6328125" bestFit="1" customWidth="1"/>
    <col min="12" max="12" width="11.6328125" bestFit="1" customWidth="1"/>
    <col min="13" max="13" width="9.54296875" bestFit="1" customWidth="1"/>
    <col min="14" max="14" width="51.6328125" bestFit="1" customWidth="1"/>
  </cols>
  <sheetData>
    <row r="1" spans="1:14" x14ac:dyDescent="0.35">
      <c r="A1" t="s">
        <v>61</v>
      </c>
      <c r="B1" t="s">
        <v>62</v>
      </c>
      <c r="C1" t="s">
        <v>63</v>
      </c>
      <c r="D1" t="s">
        <v>64</v>
      </c>
      <c r="E1" t="s">
        <v>65</v>
      </c>
      <c r="F1" t="s">
        <v>66</v>
      </c>
      <c r="G1" t="s">
        <v>67</v>
      </c>
      <c r="H1" t="s">
        <v>68</v>
      </c>
      <c r="I1" t="s">
        <v>69</v>
      </c>
      <c r="J1" t="s">
        <v>70</v>
      </c>
      <c r="K1" t="s">
        <v>71</v>
      </c>
      <c r="L1" t="s">
        <v>72</v>
      </c>
      <c r="M1" t="s">
        <v>73</v>
      </c>
      <c r="N1" t="s">
        <v>74</v>
      </c>
    </row>
    <row r="2" spans="1:14" ht="29" hidden="1" x14ac:dyDescent="0.35">
      <c r="A2" s="51" t="s">
        <v>86</v>
      </c>
      <c r="B2" s="52" t="s">
        <v>113</v>
      </c>
      <c r="C2" s="53">
        <v>0.90902777777777777</v>
      </c>
      <c r="D2" s="54">
        <v>10.5</v>
      </c>
      <c r="E2" s="55" t="s">
        <v>1</v>
      </c>
      <c r="F2" s="55">
        <v>11</v>
      </c>
      <c r="G2" s="56" t="s">
        <v>54</v>
      </c>
      <c r="H2" s="57" t="s">
        <v>76</v>
      </c>
      <c r="I2" s="31" t="s">
        <v>53</v>
      </c>
      <c r="J2" t="str">
        <f t="shared" ref="J2:J33" si="0">IF(M2,I2 &amp; " vs. " &amp; G2,G2 &amp; " vs. " &amp; I2)</f>
        <v>Animalj vs. API</v>
      </c>
      <c r="K2" t="str">
        <f t="shared" ref="K2:K33" si="1">IF(M2,I2,G2)</f>
        <v>Animalj</v>
      </c>
      <c r="L2" t="str">
        <f t="shared" ref="L2:L33" si="2">IF(M2,G2,I2)</f>
        <v>API</v>
      </c>
      <c r="M2" t="b">
        <f t="shared" ref="M2:M33" si="3">isFirstLeg(H2)</f>
        <v>1</v>
      </c>
      <c r="N2" t="str">
        <f>harmoniseMatchLink(getHyperlink(H2))</f>
        <v>http://www.dailygammon.com/bg/game/4999255/0/list#end</v>
      </c>
    </row>
    <row r="3" spans="1:14" ht="29" hidden="1" x14ac:dyDescent="0.35">
      <c r="A3" s="51" t="s">
        <v>89</v>
      </c>
      <c r="B3" s="52" t="s">
        <v>113</v>
      </c>
      <c r="C3" s="53">
        <v>0.68125000000000002</v>
      </c>
      <c r="D3" s="54">
        <v>10.541666666666666</v>
      </c>
      <c r="E3" s="55" t="s">
        <v>1</v>
      </c>
      <c r="F3" s="55">
        <v>11</v>
      </c>
      <c r="G3" s="56" t="s">
        <v>55</v>
      </c>
      <c r="H3" s="57" t="s">
        <v>76</v>
      </c>
      <c r="I3" s="31" t="s">
        <v>53</v>
      </c>
      <c r="J3" t="str">
        <f t="shared" si="0"/>
        <v>Animalj vs. Cafeplayer</v>
      </c>
      <c r="K3" t="str">
        <f t="shared" si="1"/>
        <v>Animalj</v>
      </c>
      <c r="L3" t="str">
        <f t="shared" si="2"/>
        <v>Cafeplayer</v>
      </c>
      <c r="M3" t="b">
        <f t="shared" si="3"/>
        <v>1</v>
      </c>
      <c r="N3" t="str">
        <f>harmoniseMatchLink(getHyperlink(H3))</f>
        <v>http://www.dailygammon.com/bg/game/4999613/0/list#end</v>
      </c>
    </row>
    <row r="4" spans="1:14" ht="29" hidden="1" x14ac:dyDescent="0.35">
      <c r="A4" s="51" t="s">
        <v>109</v>
      </c>
      <c r="B4" s="52" t="s">
        <v>113</v>
      </c>
      <c r="C4" s="53">
        <v>0.8979166666666667</v>
      </c>
      <c r="D4" s="54">
        <v>10.541666666666666</v>
      </c>
      <c r="E4" s="55" t="s">
        <v>1</v>
      </c>
      <c r="F4" s="55">
        <v>11</v>
      </c>
      <c r="G4" s="56" t="s">
        <v>56</v>
      </c>
      <c r="H4" s="57" t="s">
        <v>76</v>
      </c>
      <c r="I4" s="31" t="s">
        <v>53</v>
      </c>
      <c r="J4" t="str">
        <f t="shared" si="0"/>
        <v>Animalj vs. dzsobacsi</v>
      </c>
      <c r="K4" t="str">
        <f t="shared" si="1"/>
        <v>Animalj</v>
      </c>
      <c r="L4" t="str">
        <f t="shared" si="2"/>
        <v>dzsobacsi</v>
      </c>
      <c r="M4" t="b">
        <f t="shared" si="3"/>
        <v>1</v>
      </c>
      <c r="N4" t="str">
        <f>harmoniseMatchLink(getHyperlink(H4))</f>
        <v>http://www.dailygammon.com/bg/game/4999316/0/list#end</v>
      </c>
    </row>
    <row r="5" spans="1:14" ht="29" hidden="1" x14ac:dyDescent="0.35">
      <c r="A5" s="51" t="s">
        <v>81</v>
      </c>
      <c r="B5" s="52" t="s">
        <v>113</v>
      </c>
      <c r="C5" s="53">
        <v>0.73125000000000007</v>
      </c>
      <c r="D5" s="54">
        <v>10.625</v>
      </c>
      <c r="E5" s="55" t="s">
        <v>1</v>
      </c>
      <c r="F5" s="55">
        <v>11</v>
      </c>
      <c r="G5" s="56" t="s">
        <v>57</v>
      </c>
      <c r="H5" s="57" t="s">
        <v>76</v>
      </c>
      <c r="I5" s="31" t="s">
        <v>53</v>
      </c>
      <c r="J5" t="str">
        <f t="shared" si="0"/>
        <v>Animalj vs. hcc1670</v>
      </c>
      <c r="K5" t="str">
        <f t="shared" si="1"/>
        <v>Animalj</v>
      </c>
      <c r="L5" t="str">
        <f t="shared" si="2"/>
        <v>hcc1670</v>
      </c>
      <c r="M5" t="b">
        <f t="shared" si="3"/>
        <v>1</v>
      </c>
      <c r="N5" t="str">
        <f>harmoniseMatchLink(getHyperlink(H5))</f>
        <v>http://www.dailygammon.com/bg/game/4999236/0/list#end</v>
      </c>
    </row>
    <row r="6" spans="1:14" ht="29" hidden="1" x14ac:dyDescent="0.35">
      <c r="A6" s="51" t="s">
        <v>111</v>
      </c>
      <c r="B6" s="52" t="s">
        <v>113</v>
      </c>
      <c r="C6" s="53">
        <v>0.83958333333333324</v>
      </c>
      <c r="D6" s="54">
        <v>10.541666666666666</v>
      </c>
      <c r="E6" s="55" t="s">
        <v>1</v>
      </c>
      <c r="F6" s="55">
        <v>11</v>
      </c>
      <c r="G6" s="56" t="s">
        <v>58</v>
      </c>
      <c r="H6" s="57" t="s">
        <v>76</v>
      </c>
      <c r="I6" s="31" t="s">
        <v>53</v>
      </c>
      <c r="J6" t="str">
        <f t="shared" si="0"/>
        <v>Animalj vs. Mattias Roos</v>
      </c>
      <c r="K6" t="str">
        <f t="shared" si="1"/>
        <v>Animalj</v>
      </c>
      <c r="L6" t="str">
        <f t="shared" si="2"/>
        <v>Mattias Roos</v>
      </c>
      <c r="M6" t="b">
        <f t="shared" si="3"/>
        <v>1</v>
      </c>
      <c r="N6" t="str">
        <f>harmoniseMatchLink(getHyperlink(H6))</f>
        <v>http://www.dailygammon.com/bg/game/4999448/0/list#end</v>
      </c>
    </row>
    <row r="7" spans="1:14" ht="29" x14ac:dyDescent="0.35">
      <c r="A7" s="51" t="s">
        <v>100</v>
      </c>
      <c r="B7" s="52" t="s">
        <v>113</v>
      </c>
      <c r="C7" s="53">
        <v>0.95208333333333339</v>
      </c>
      <c r="D7" s="54">
        <v>10.541666666666666</v>
      </c>
      <c r="E7" s="55" t="s">
        <v>1</v>
      </c>
      <c r="F7" s="55">
        <v>11</v>
      </c>
      <c r="G7" s="56" t="s">
        <v>115</v>
      </c>
      <c r="H7" s="57" t="s">
        <v>76</v>
      </c>
      <c r="I7" s="31" t="s">
        <v>53</v>
      </c>
      <c r="J7" t="str">
        <f t="shared" si="0"/>
        <v>Animalj vs. phinneas</v>
      </c>
      <c r="K7" t="str">
        <f t="shared" si="1"/>
        <v>Animalj</v>
      </c>
      <c r="L7" t="str">
        <f t="shared" si="2"/>
        <v>phinneas</v>
      </c>
      <c r="M7" t="b">
        <f t="shared" si="3"/>
        <v>1</v>
      </c>
      <c r="N7" t="str">
        <f>harmoniseMatchLink(getHyperlink(H7))</f>
        <v>http://www.dailygammon.com/bg/game/4999244/0/list#end</v>
      </c>
    </row>
    <row r="8" spans="1:14" ht="29" hidden="1" x14ac:dyDescent="0.35">
      <c r="A8" s="51" t="s">
        <v>91</v>
      </c>
      <c r="B8" s="52" t="s">
        <v>113</v>
      </c>
      <c r="C8" s="53">
        <v>0.68888888888888899</v>
      </c>
      <c r="D8" s="54">
        <v>10.583333333333334</v>
      </c>
      <c r="E8" s="55" t="s">
        <v>1</v>
      </c>
      <c r="F8" s="55">
        <v>11</v>
      </c>
      <c r="G8" s="56" t="s">
        <v>59</v>
      </c>
      <c r="H8" s="57" t="s">
        <v>76</v>
      </c>
      <c r="I8" s="31" t="s">
        <v>53</v>
      </c>
      <c r="J8" t="str">
        <f t="shared" si="0"/>
        <v>Animalj vs. Sandr</v>
      </c>
      <c r="K8" t="str">
        <f t="shared" si="1"/>
        <v>Animalj</v>
      </c>
      <c r="L8" t="str">
        <f t="shared" si="2"/>
        <v>Sandr</v>
      </c>
      <c r="M8" t="b">
        <f t="shared" si="3"/>
        <v>1</v>
      </c>
      <c r="N8" t="str">
        <f>harmoniseMatchLink(getHyperlink(H8))</f>
        <v>http://www.dailygammon.com/bg/game/4999303/0/list#end</v>
      </c>
    </row>
    <row r="9" spans="1:14" ht="29" hidden="1" x14ac:dyDescent="0.35">
      <c r="A9" s="51" t="s">
        <v>88</v>
      </c>
      <c r="B9" s="52" t="s">
        <v>113</v>
      </c>
      <c r="C9" s="53">
        <v>0.86249999999999993</v>
      </c>
      <c r="D9" s="54">
        <v>10.625</v>
      </c>
      <c r="E9" s="55" t="s">
        <v>1</v>
      </c>
      <c r="F9" s="55">
        <v>11</v>
      </c>
      <c r="G9" s="56" t="s">
        <v>114</v>
      </c>
      <c r="H9" s="57" t="s">
        <v>76</v>
      </c>
      <c r="I9" s="31" t="s">
        <v>53</v>
      </c>
      <c r="J9" t="str">
        <f t="shared" si="0"/>
        <v>Animalj vs. skonaman</v>
      </c>
      <c r="K9" t="str">
        <f t="shared" si="1"/>
        <v>Animalj</v>
      </c>
      <c r="L9" t="str">
        <f t="shared" si="2"/>
        <v>skonaman</v>
      </c>
      <c r="M9" t="b">
        <f t="shared" si="3"/>
        <v>1</v>
      </c>
      <c r="N9" t="str">
        <f>harmoniseMatchLink(getHyperlink(H9))</f>
        <v>http://www.dailygammon.com/bg/game/4999247/0/list#end</v>
      </c>
    </row>
    <row r="10" spans="1:14" ht="29" hidden="1" x14ac:dyDescent="0.35">
      <c r="A10" s="51" t="s">
        <v>87</v>
      </c>
      <c r="B10" s="52" t="s">
        <v>113</v>
      </c>
      <c r="C10" s="53">
        <v>0.95000000000000007</v>
      </c>
      <c r="D10" s="54">
        <v>10.5</v>
      </c>
      <c r="E10" s="55" t="s">
        <v>1</v>
      </c>
      <c r="F10" s="55">
        <v>11</v>
      </c>
      <c r="G10" s="56" t="s">
        <v>60</v>
      </c>
      <c r="H10" s="57" t="s">
        <v>76</v>
      </c>
      <c r="I10" s="31" t="s">
        <v>53</v>
      </c>
      <c r="J10" t="str">
        <f t="shared" si="0"/>
        <v>Animalj vs. Zenswang</v>
      </c>
      <c r="K10" t="str">
        <f t="shared" si="1"/>
        <v>Animalj</v>
      </c>
      <c r="L10" t="str">
        <f t="shared" si="2"/>
        <v>Zenswang</v>
      </c>
      <c r="M10" t="b">
        <f t="shared" si="3"/>
        <v>1</v>
      </c>
      <c r="N10" t="str">
        <f>harmoniseMatchLink(getHyperlink(H10))</f>
        <v>http://www.dailygammon.com/bg/game/4999248/0/list#end</v>
      </c>
    </row>
    <row r="11" spans="1:14" ht="29" hidden="1" x14ac:dyDescent="0.35">
      <c r="A11" s="51" t="s">
        <v>90</v>
      </c>
      <c r="B11" s="52" t="s">
        <v>113</v>
      </c>
      <c r="C11" s="55" t="s">
        <v>83</v>
      </c>
      <c r="D11" s="54">
        <v>10.541666666666666</v>
      </c>
      <c r="E11" s="55" t="s">
        <v>1</v>
      </c>
      <c r="F11" s="55">
        <v>11</v>
      </c>
      <c r="G11" s="56" t="s">
        <v>53</v>
      </c>
      <c r="H11" s="57" t="s">
        <v>76</v>
      </c>
      <c r="I11" s="56" t="s">
        <v>54</v>
      </c>
      <c r="J11" t="str">
        <f t="shared" si="0"/>
        <v>API vs. Animalj</v>
      </c>
      <c r="K11" t="str">
        <f t="shared" si="1"/>
        <v>API</v>
      </c>
      <c r="L11" t="str">
        <f t="shared" si="2"/>
        <v>Animalj</v>
      </c>
      <c r="M11" t="b">
        <f t="shared" si="3"/>
        <v>1</v>
      </c>
      <c r="N11" t="str">
        <f>harmoniseMatchLink(getHyperlink(H11))</f>
        <v>http://www.dailygammon.com/bg/game/4999725/0/list#end</v>
      </c>
    </row>
    <row r="12" spans="1:14" ht="29" hidden="1" x14ac:dyDescent="0.35">
      <c r="A12" s="51" t="s">
        <v>89</v>
      </c>
      <c r="B12" s="52" t="s">
        <v>113</v>
      </c>
      <c r="C12" s="55" t="s">
        <v>83</v>
      </c>
      <c r="D12" s="54">
        <v>10.541666666666666</v>
      </c>
      <c r="E12" s="55" t="s">
        <v>1</v>
      </c>
      <c r="F12" s="55">
        <v>11</v>
      </c>
      <c r="G12" s="56" t="s">
        <v>55</v>
      </c>
      <c r="H12" s="57" t="s">
        <v>76</v>
      </c>
      <c r="I12" s="56" t="s">
        <v>54</v>
      </c>
      <c r="J12" t="str">
        <f t="shared" si="0"/>
        <v>API vs. Cafeplayer</v>
      </c>
      <c r="K12" t="str">
        <f t="shared" si="1"/>
        <v>API</v>
      </c>
      <c r="L12" t="str">
        <f t="shared" si="2"/>
        <v>Cafeplayer</v>
      </c>
      <c r="M12" t="b">
        <f t="shared" si="3"/>
        <v>1</v>
      </c>
      <c r="N12" t="str">
        <f>harmoniseMatchLink(getHyperlink(H12))</f>
        <v>http://www.dailygammon.com/bg/game/4999614/0/list#end</v>
      </c>
    </row>
    <row r="13" spans="1:14" ht="29" hidden="1" x14ac:dyDescent="0.35">
      <c r="A13" s="51" t="s">
        <v>86</v>
      </c>
      <c r="B13" s="52" t="s">
        <v>113</v>
      </c>
      <c r="C13" s="53">
        <v>0.90347222222222223</v>
      </c>
      <c r="D13" s="54">
        <v>10.625</v>
      </c>
      <c r="E13" s="55" t="s">
        <v>1</v>
      </c>
      <c r="F13" s="55">
        <v>11</v>
      </c>
      <c r="G13" s="56" t="s">
        <v>56</v>
      </c>
      <c r="H13" s="57" t="s">
        <v>76</v>
      </c>
      <c r="I13" s="56" t="s">
        <v>54</v>
      </c>
      <c r="J13" t="str">
        <f t="shared" si="0"/>
        <v>API vs. dzsobacsi</v>
      </c>
      <c r="K13" t="str">
        <f t="shared" si="1"/>
        <v>API</v>
      </c>
      <c r="L13" t="str">
        <f t="shared" si="2"/>
        <v>dzsobacsi</v>
      </c>
      <c r="M13" t="b">
        <f t="shared" si="3"/>
        <v>1</v>
      </c>
      <c r="N13" t="str">
        <f>harmoniseMatchLink(getHyperlink(H13))</f>
        <v>http://www.dailygammon.com/bg/game/4999317/0/list#end</v>
      </c>
    </row>
    <row r="14" spans="1:14" ht="29" hidden="1" x14ac:dyDescent="0.35">
      <c r="A14" s="51" t="s">
        <v>100</v>
      </c>
      <c r="B14" s="52" t="s">
        <v>113</v>
      </c>
      <c r="C14" s="53">
        <v>0.92638888888888893</v>
      </c>
      <c r="D14" s="54">
        <v>10.75</v>
      </c>
      <c r="E14" s="55" t="s">
        <v>1</v>
      </c>
      <c r="F14" s="55">
        <v>11</v>
      </c>
      <c r="G14" s="56" t="s">
        <v>57</v>
      </c>
      <c r="H14" s="57" t="s">
        <v>76</v>
      </c>
      <c r="I14" s="56" t="s">
        <v>54</v>
      </c>
      <c r="J14" t="str">
        <f t="shared" si="0"/>
        <v>API vs. hcc1670</v>
      </c>
      <c r="K14" t="str">
        <f t="shared" si="1"/>
        <v>API</v>
      </c>
      <c r="L14" t="str">
        <f t="shared" si="2"/>
        <v>hcc1670</v>
      </c>
      <c r="M14" t="b">
        <f t="shared" si="3"/>
        <v>1</v>
      </c>
      <c r="N14" t="str">
        <f>harmoniseMatchLink(getHyperlink(H14))</f>
        <v>http://www.dailygammon.com/bg/game/4999297/0/list#end</v>
      </c>
    </row>
    <row r="15" spans="1:14" ht="29" hidden="1" x14ac:dyDescent="0.35">
      <c r="A15" s="51" t="s">
        <v>109</v>
      </c>
      <c r="B15" s="52" t="s">
        <v>113</v>
      </c>
      <c r="C15" s="55" t="s">
        <v>83</v>
      </c>
      <c r="D15" s="54">
        <v>10.666666666666666</v>
      </c>
      <c r="E15" s="55" t="s">
        <v>1</v>
      </c>
      <c r="F15" s="55">
        <v>11</v>
      </c>
      <c r="G15" s="56" t="s">
        <v>58</v>
      </c>
      <c r="H15" s="57" t="s">
        <v>76</v>
      </c>
      <c r="I15" s="56" t="s">
        <v>54</v>
      </c>
      <c r="J15" t="str">
        <f t="shared" si="0"/>
        <v>API vs. Mattias Roos</v>
      </c>
      <c r="K15" t="str">
        <f t="shared" si="1"/>
        <v>API</v>
      </c>
      <c r="L15" t="str">
        <f t="shared" si="2"/>
        <v>Mattias Roos</v>
      </c>
      <c r="M15" t="b">
        <f t="shared" si="3"/>
        <v>1</v>
      </c>
      <c r="N15" t="str">
        <f>harmoniseMatchLink(getHyperlink(H15))</f>
        <v>http://www.dailygammon.com/bg/game/4999446/0/list#end</v>
      </c>
    </row>
    <row r="16" spans="1:14" ht="29" x14ac:dyDescent="0.35">
      <c r="A16" s="51" t="s">
        <v>87</v>
      </c>
      <c r="B16" s="52" t="s">
        <v>113</v>
      </c>
      <c r="C16" s="53">
        <v>0.9506944444444444</v>
      </c>
      <c r="D16" s="54">
        <v>10.541666666666666</v>
      </c>
      <c r="E16" s="55" t="s">
        <v>1</v>
      </c>
      <c r="F16" s="55">
        <v>11</v>
      </c>
      <c r="G16" s="56" t="s">
        <v>115</v>
      </c>
      <c r="H16" s="57" t="s">
        <v>76</v>
      </c>
      <c r="I16" s="56" t="s">
        <v>54</v>
      </c>
      <c r="J16" t="str">
        <f t="shared" si="0"/>
        <v>API vs. phinneas</v>
      </c>
      <c r="K16" t="str">
        <f t="shared" si="1"/>
        <v>API</v>
      </c>
      <c r="L16" t="str">
        <f t="shared" si="2"/>
        <v>phinneas</v>
      </c>
      <c r="M16" t="b">
        <f t="shared" si="3"/>
        <v>1</v>
      </c>
      <c r="N16" t="str">
        <f>harmoniseMatchLink(getHyperlink(H16))</f>
        <v>http://www.dailygammon.com/bg/game/4999314/0/list#end</v>
      </c>
    </row>
    <row r="17" spans="1:14" ht="29" hidden="1" x14ac:dyDescent="0.35">
      <c r="A17" s="51" t="s">
        <v>88</v>
      </c>
      <c r="B17" s="52" t="s">
        <v>113</v>
      </c>
      <c r="C17" s="55" t="s">
        <v>83</v>
      </c>
      <c r="D17" s="54">
        <v>10.583333333333334</v>
      </c>
      <c r="E17" s="55" t="s">
        <v>1</v>
      </c>
      <c r="F17" s="55">
        <v>11</v>
      </c>
      <c r="G17" s="56" t="s">
        <v>59</v>
      </c>
      <c r="H17" s="57" t="s">
        <v>76</v>
      </c>
      <c r="I17" s="56" t="s">
        <v>54</v>
      </c>
      <c r="J17" t="str">
        <f t="shared" si="0"/>
        <v>API vs. Sandr</v>
      </c>
      <c r="K17" t="str">
        <f t="shared" si="1"/>
        <v>API</v>
      </c>
      <c r="L17" t="str">
        <f t="shared" si="2"/>
        <v>Sandr</v>
      </c>
      <c r="M17" t="b">
        <f t="shared" si="3"/>
        <v>1</v>
      </c>
      <c r="N17" t="str">
        <f>harmoniseMatchLink(getHyperlink(H17))</f>
        <v>http://www.dailygammon.com/bg/game/4999301/0/list#end</v>
      </c>
    </row>
    <row r="18" spans="1:14" ht="29" hidden="1" x14ac:dyDescent="0.35">
      <c r="A18" s="51" t="s">
        <v>108</v>
      </c>
      <c r="B18" s="52" t="s">
        <v>113</v>
      </c>
      <c r="C18" s="53">
        <v>0.92152777777777783</v>
      </c>
      <c r="D18" s="54">
        <v>10.5</v>
      </c>
      <c r="E18" s="55" t="s">
        <v>1</v>
      </c>
      <c r="F18" s="55">
        <v>11</v>
      </c>
      <c r="G18" s="56" t="s">
        <v>114</v>
      </c>
      <c r="H18" s="57" t="s">
        <v>76</v>
      </c>
      <c r="I18" s="56" t="s">
        <v>54</v>
      </c>
      <c r="J18" t="str">
        <f t="shared" si="0"/>
        <v>API vs. skonaman</v>
      </c>
      <c r="K18" t="str">
        <f t="shared" si="1"/>
        <v>API</v>
      </c>
      <c r="L18" t="str">
        <f t="shared" si="2"/>
        <v>skonaman</v>
      </c>
      <c r="M18" t="b">
        <f t="shared" si="3"/>
        <v>1</v>
      </c>
      <c r="N18" t="str">
        <f>harmoniseMatchLink(getHyperlink(H18))</f>
        <v>http://www.dailygammon.com/bg/game/4999284/0/list#end</v>
      </c>
    </row>
    <row r="19" spans="1:14" ht="29" hidden="1" x14ac:dyDescent="0.35">
      <c r="A19" s="51" t="s">
        <v>91</v>
      </c>
      <c r="B19" s="52" t="s">
        <v>113</v>
      </c>
      <c r="C19" s="55" t="s">
        <v>83</v>
      </c>
      <c r="D19" s="54">
        <v>10.541666666666666</v>
      </c>
      <c r="E19" s="55" t="s">
        <v>1</v>
      </c>
      <c r="F19" s="55">
        <v>11</v>
      </c>
      <c r="G19" s="56" t="s">
        <v>60</v>
      </c>
      <c r="H19" s="57" t="s">
        <v>76</v>
      </c>
      <c r="I19" s="56" t="s">
        <v>54</v>
      </c>
      <c r="J19" t="str">
        <f t="shared" si="0"/>
        <v>API vs. Zenswang</v>
      </c>
      <c r="K19" t="str">
        <f t="shared" si="1"/>
        <v>API</v>
      </c>
      <c r="L19" t="str">
        <f t="shared" si="2"/>
        <v>Zenswang</v>
      </c>
      <c r="M19" t="b">
        <f t="shared" si="3"/>
        <v>1</v>
      </c>
      <c r="N19" t="str">
        <f>harmoniseMatchLink(getHyperlink(H19))</f>
        <v>http://www.dailygammon.com/bg/game/4999393/0/list#end</v>
      </c>
    </row>
    <row r="20" spans="1:14" ht="29" hidden="1" x14ac:dyDescent="0.35">
      <c r="A20" s="51" t="s">
        <v>145</v>
      </c>
      <c r="B20" s="52" t="s">
        <v>113</v>
      </c>
      <c r="C20" s="55" t="s">
        <v>83</v>
      </c>
      <c r="D20" s="54">
        <v>10.541666666666666</v>
      </c>
      <c r="E20" s="55" t="s">
        <v>1</v>
      </c>
      <c r="F20" s="55">
        <v>11</v>
      </c>
      <c r="G20" s="56" t="s">
        <v>53</v>
      </c>
      <c r="H20" s="57" t="s">
        <v>76</v>
      </c>
      <c r="I20" s="56" t="s">
        <v>55</v>
      </c>
      <c r="J20" t="str">
        <f t="shared" si="0"/>
        <v>Cafeplayer vs. Animalj</v>
      </c>
      <c r="K20" t="str">
        <f t="shared" si="1"/>
        <v>Cafeplayer</v>
      </c>
      <c r="L20" t="str">
        <f t="shared" si="2"/>
        <v>Animalj</v>
      </c>
      <c r="M20" t="b">
        <f t="shared" si="3"/>
        <v>1</v>
      </c>
      <c r="N20" t="str">
        <f>harmoniseMatchLink(getHyperlink(H20))</f>
        <v>http://www.dailygammon.com/bg/game/4999724/0/list#end</v>
      </c>
    </row>
    <row r="21" spans="1:14" ht="29" hidden="1" x14ac:dyDescent="0.35">
      <c r="A21" s="51" t="s">
        <v>146</v>
      </c>
      <c r="B21" s="52" t="s">
        <v>113</v>
      </c>
      <c r="C21" s="53">
        <v>0.89027777777777783</v>
      </c>
      <c r="D21" s="54">
        <v>10.5</v>
      </c>
      <c r="E21" s="55" t="s">
        <v>1</v>
      </c>
      <c r="F21" s="55">
        <v>11</v>
      </c>
      <c r="G21" s="56" t="s">
        <v>54</v>
      </c>
      <c r="H21" s="57" t="s">
        <v>76</v>
      </c>
      <c r="I21" s="56" t="s">
        <v>55</v>
      </c>
      <c r="J21" t="str">
        <f t="shared" si="0"/>
        <v>Cafeplayer vs. API</v>
      </c>
      <c r="K21" t="str">
        <f t="shared" si="1"/>
        <v>Cafeplayer</v>
      </c>
      <c r="L21" t="str">
        <f t="shared" si="2"/>
        <v>API</v>
      </c>
      <c r="M21" t="b">
        <f t="shared" si="3"/>
        <v>1</v>
      </c>
      <c r="N21" t="str">
        <f>harmoniseMatchLink(getHyperlink(H21))</f>
        <v>http://www.dailygammon.com/bg/game/4999736/0/list#end</v>
      </c>
    </row>
    <row r="22" spans="1:14" ht="29" hidden="1" x14ac:dyDescent="0.35">
      <c r="A22" s="51" t="s">
        <v>141</v>
      </c>
      <c r="B22" s="52" t="s">
        <v>113</v>
      </c>
      <c r="C22" s="53">
        <v>0.89583333333333337</v>
      </c>
      <c r="D22" s="54">
        <v>10.541666666666666</v>
      </c>
      <c r="E22" s="55" t="s">
        <v>1</v>
      </c>
      <c r="F22" s="55">
        <v>11</v>
      </c>
      <c r="G22" s="56" t="s">
        <v>56</v>
      </c>
      <c r="H22" s="57" t="s">
        <v>76</v>
      </c>
      <c r="I22" s="56" t="s">
        <v>55</v>
      </c>
      <c r="J22" t="str">
        <f t="shared" si="0"/>
        <v>Cafeplayer vs. dzsobacsi</v>
      </c>
      <c r="K22" t="str">
        <f t="shared" si="1"/>
        <v>Cafeplayer</v>
      </c>
      <c r="L22" t="str">
        <f t="shared" si="2"/>
        <v>dzsobacsi</v>
      </c>
      <c r="M22" t="b">
        <f t="shared" si="3"/>
        <v>1</v>
      </c>
      <c r="N22" t="str">
        <f>harmoniseMatchLink(getHyperlink(H22))</f>
        <v>http://www.dailygammon.com/bg/game/4999661/0/list#end</v>
      </c>
    </row>
    <row r="23" spans="1:14" ht="29" hidden="1" x14ac:dyDescent="0.35">
      <c r="A23" s="51" t="s">
        <v>142</v>
      </c>
      <c r="B23" s="52" t="s">
        <v>113</v>
      </c>
      <c r="C23" s="53">
        <v>0.92638888888888893</v>
      </c>
      <c r="D23" s="54">
        <v>10.708333333333334</v>
      </c>
      <c r="E23" s="55" t="s">
        <v>1</v>
      </c>
      <c r="F23" s="55">
        <v>11</v>
      </c>
      <c r="G23" s="56" t="s">
        <v>57</v>
      </c>
      <c r="H23" s="57" t="s">
        <v>76</v>
      </c>
      <c r="I23" s="56" t="s">
        <v>55</v>
      </c>
      <c r="J23" t="str">
        <f t="shared" si="0"/>
        <v>Cafeplayer vs. hcc1670</v>
      </c>
      <c r="K23" t="str">
        <f t="shared" si="1"/>
        <v>Cafeplayer</v>
      </c>
      <c r="L23" t="str">
        <f t="shared" si="2"/>
        <v>hcc1670</v>
      </c>
      <c r="M23" t="b">
        <f t="shared" si="3"/>
        <v>1</v>
      </c>
      <c r="N23" t="str">
        <f>harmoniseMatchLink(getHyperlink(H23))</f>
        <v>http://www.dailygammon.com/bg/game/4999682/0/list#end</v>
      </c>
    </row>
    <row r="24" spans="1:14" ht="29" hidden="1" x14ac:dyDescent="0.35">
      <c r="A24" s="51" t="s">
        <v>147</v>
      </c>
      <c r="B24" s="52" t="s">
        <v>113</v>
      </c>
      <c r="C24" s="53">
        <v>0.84027777777777779</v>
      </c>
      <c r="D24" s="54">
        <v>10.541666666666666</v>
      </c>
      <c r="E24" s="55" t="s">
        <v>1</v>
      </c>
      <c r="F24" s="55">
        <v>11</v>
      </c>
      <c r="G24" s="56" t="s">
        <v>58</v>
      </c>
      <c r="H24" s="57" t="s">
        <v>76</v>
      </c>
      <c r="I24" s="56" t="s">
        <v>55</v>
      </c>
      <c r="J24" t="str">
        <f t="shared" si="0"/>
        <v>Cafeplayer vs. Mattias Roos</v>
      </c>
      <c r="K24" t="str">
        <f t="shared" si="1"/>
        <v>Cafeplayer</v>
      </c>
      <c r="L24" t="str">
        <f t="shared" si="2"/>
        <v>Mattias Roos</v>
      </c>
      <c r="M24" t="b">
        <f t="shared" si="3"/>
        <v>1</v>
      </c>
      <c r="N24" t="str">
        <f>harmoniseMatchLink(getHyperlink(H24))</f>
        <v>http://www.dailygammon.com/bg/game/4999895/0/list#end</v>
      </c>
    </row>
    <row r="25" spans="1:14" ht="29" x14ac:dyDescent="0.35">
      <c r="A25" s="51" t="s">
        <v>107</v>
      </c>
      <c r="B25" s="52" t="s">
        <v>113</v>
      </c>
      <c r="C25" s="53">
        <v>0.95347222222222217</v>
      </c>
      <c r="D25" s="54">
        <v>10.625</v>
      </c>
      <c r="E25" s="55" t="s">
        <v>1</v>
      </c>
      <c r="F25" s="55">
        <v>11</v>
      </c>
      <c r="G25" s="56" t="s">
        <v>115</v>
      </c>
      <c r="H25" s="57" t="s">
        <v>76</v>
      </c>
      <c r="I25" s="56" t="s">
        <v>55</v>
      </c>
      <c r="J25" t="str">
        <f t="shared" si="0"/>
        <v>Cafeplayer vs. phinneas</v>
      </c>
      <c r="K25" t="str">
        <f t="shared" si="1"/>
        <v>Cafeplayer</v>
      </c>
      <c r="L25" t="str">
        <f t="shared" si="2"/>
        <v>phinneas</v>
      </c>
      <c r="M25" t="b">
        <f t="shared" si="3"/>
        <v>1</v>
      </c>
      <c r="N25" t="str">
        <f>harmoniseMatchLink(getHyperlink(H25))</f>
        <v>http://www.dailygammon.com/bg/game/4999646/0/list#end</v>
      </c>
    </row>
    <row r="26" spans="1:14" ht="29" hidden="1" x14ac:dyDescent="0.35">
      <c r="A26" s="51" t="s">
        <v>144</v>
      </c>
      <c r="B26" s="52" t="s">
        <v>113</v>
      </c>
      <c r="C26" s="55" t="s">
        <v>83</v>
      </c>
      <c r="D26" s="54">
        <v>10.583333333333334</v>
      </c>
      <c r="E26" s="55" t="s">
        <v>1</v>
      </c>
      <c r="F26" s="55">
        <v>11</v>
      </c>
      <c r="G26" s="56" t="s">
        <v>59</v>
      </c>
      <c r="H26" s="57" t="s">
        <v>76</v>
      </c>
      <c r="I26" s="56" t="s">
        <v>55</v>
      </c>
      <c r="J26" t="str">
        <f t="shared" si="0"/>
        <v>Cafeplayer vs. Sandr</v>
      </c>
      <c r="K26" t="str">
        <f t="shared" si="1"/>
        <v>Cafeplayer</v>
      </c>
      <c r="L26" t="str">
        <f t="shared" si="2"/>
        <v>Sandr</v>
      </c>
      <c r="M26" t="b">
        <f t="shared" si="3"/>
        <v>1</v>
      </c>
      <c r="N26" t="str">
        <f>harmoniseMatchLink(getHyperlink(H26))</f>
        <v>http://www.dailygammon.com/bg/game/4999714/0/list#end</v>
      </c>
    </row>
    <row r="27" spans="1:14" ht="29" hidden="1" x14ac:dyDescent="0.35">
      <c r="A27" s="51" t="s">
        <v>143</v>
      </c>
      <c r="B27" s="52" t="s">
        <v>113</v>
      </c>
      <c r="C27" s="55" t="s">
        <v>83</v>
      </c>
      <c r="D27" s="54">
        <v>10.583333333333334</v>
      </c>
      <c r="E27" s="55" t="s">
        <v>1</v>
      </c>
      <c r="F27" s="55">
        <v>11</v>
      </c>
      <c r="G27" s="56" t="s">
        <v>114</v>
      </c>
      <c r="H27" s="57" t="s">
        <v>76</v>
      </c>
      <c r="I27" s="56" t="s">
        <v>55</v>
      </c>
      <c r="J27" t="str">
        <f t="shared" si="0"/>
        <v>Cafeplayer vs. skonaman</v>
      </c>
      <c r="K27" t="str">
        <f t="shared" si="1"/>
        <v>Cafeplayer</v>
      </c>
      <c r="L27" t="str">
        <f t="shared" si="2"/>
        <v>skonaman</v>
      </c>
      <c r="M27" t="b">
        <f t="shared" si="3"/>
        <v>1</v>
      </c>
      <c r="N27" t="str">
        <f>harmoniseMatchLink(getHyperlink(H27))</f>
        <v>http://www.dailygammon.com/bg/game/4999689/0/list#end</v>
      </c>
    </row>
    <row r="28" spans="1:14" ht="29" hidden="1" x14ac:dyDescent="0.35">
      <c r="A28" s="51" t="s">
        <v>140</v>
      </c>
      <c r="B28" s="52" t="s">
        <v>113</v>
      </c>
      <c r="C28" s="55" t="s">
        <v>83</v>
      </c>
      <c r="D28" s="54">
        <v>10.541666666666666</v>
      </c>
      <c r="E28" s="55" t="s">
        <v>1</v>
      </c>
      <c r="F28" s="55">
        <v>11</v>
      </c>
      <c r="G28" s="56" t="s">
        <v>60</v>
      </c>
      <c r="H28" s="57" t="s">
        <v>76</v>
      </c>
      <c r="I28" s="56" t="s">
        <v>55</v>
      </c>
      <c r="J28" t="str">
        <f t="shared" si="0"/>
        <v>Cafeplayer vs. Zenswang</v>
      </c>
      <c r="K28" t="str">
        <f t="shared" si="1"/>
        <v>Cafeplayer</v>
      </c>
      <c r="L28" t="str">
        <f t="shared" si="2"/>
        <v>Zenswang</v>
      </c>
      <c r="M28" t="b">
        <f t="shared" si="3"/>
        <v>1</v>
      </c>
      <c r="N28" t="str">
        <f>harmoniseMatchLink(getHyperlink(H28))</f>
        <v>http://www.dailygammon.com/bg/game/4999660/0/list#end</v>
      </c>
    </row>
    <row r="29" spans="1:14" ht="29" hidden="1" x14ac:dyDescent="0.35">
      <c r="A29" s="51" t="s">
        <v>118</v>
      </c>
      <c r="B29" s="52" t="s">
        <v>113</v>
      </c>
      <c r="C29" s="55" t="s">
        <v>83</v>
      </c>
      <c r="D29" s="54">
        <v>10.458333333333334</v>
      </c>
      <c r="E29" s="55" t="s">
        <v>1</v>
      </c>
      <c r="F29" s="55">
        <v>11</v>
      </c>
      <c r="G29" s="56" t="s">
        <v>53</v>
      </c>
      <c r="H29" s="57" t="s">
        <v>76</v>
      </c>
      <c r="I29" s="56" t="s">
        <v>56</v>
      </c>
      <c r="J29" t="str">
        <f t="shared" si="0"/>
        <v>dzsobacsi vs. Animalj</v>
      </c>
      <c r="K29" t="str">
        <f t="shared" si="1"/>
        <v>dzsobacsi</v>
      </c>
      <c r="L29" t="str">
        <f t="shared" si="2"/>
        <v>Animalj</v>
      </c>
      <c r="M29" t="b">
        <f t="shared" si="3"/>
        <v>1</v>
      </c>
      <c r="N29" t="str">
        <f>harmoniseMatchLink(getHyperlink(H29))</f>
        <v>http://www.dailygammon.com/bg/game/5000029/0/list#end</v>
      </c>
    </row>
    <row r="30" spans="1:14" ht="29" hidden="1" x14ac:dyDescent="0.35">
      <c r="A30" s="51" t="s">
        <v>110</v>
      </c>
      <c r="B30" s="52" t="s">
        <v>113</v>
      </c>
      <c r="C30" s="55" t="s">
        <v>83</v>
      </c>
      <c r="D30" s="54">
        <v>10.541666666666666</v>
      </c>
      <c r="E30" s="55" t="s">
        <v>1</v>
      </c>
      <c r="F30" s="55">
        <v>11</v>
      </c>
      <c r="G30" s="56" t="s">
        <v>54</v>
      </c>
      <c r="H30" s="57" t="s">
        <v>76</v>
      </c>
      <c r="I30" s="56" t="s">
        <v>56</v>
      </c>
      <c r="J30" t="str">
        <f t="shared" si="0"/>
        <v>dzsobacsi vs. API</v>
      </c>
      <c r="K30" t="str">
        <f t="shared" si="1"/>
        <v>dzsobacsi</v>
      </c>
      <c r="L30" t="str">
        <f t="shared" si="2"/>
        <v>API</v>
      </c>
      <c r="M30" t="b">
        <f t="shared" si="3"/>
        <v>1</v>
      </c>
      <c r="N30" t="str">
        <f>harmoniseMatchLink(getHyperlink(H30))</f>
        <v>http://www.dailygammon.com/bg/game/4999997/0/list#end</v>
      </c>
    </row>
    <row r="31" spans="1:14" ht="29" hidden="1" x14ac:dyDescent="0.35">
      <c r="A31" s="51" t="s">
        <v>93</v>
      </c>
      <c r="B31" s="52" t="s">
        <v>113</v>
      </c>
      <c r="C31" s="55" t="s">
        <v>83</v>
      </c>
      <c r="D31" s="54">
        <v>10.541666666666666</v>
      </c>
      <c r="E31" s="55" t="s">
        <v>1</v>
      </c>
      <c r="F31" s="55">
        <v>11</v>
      </c>
      <c r="G31" s="56" t="s">
        <v>55</v>
      </c>
      <c r="H31" s="57" t="s">
        <v>76</v>
      </c>
      <c r="I31" s="56" t="s">
        <v>56</v>
      </c>
      <c r="J31" t="str">
        <f t="shared" si="0"/>
        <v>dzsobacsi vs. Cafeplayer</v>
      </c>
      <c r="K31" t="str">
        <f t="shared" si="1"/>
        <v>dzsobacsi</v>
      </c>
      <c r="L31" t="str">
        <f t="shared" si="2"/>
        <v>Cafeplayer</v>
      </c>
      <c r="M31" t="b">
        <f t="shared" si="3"/>
        <v>1</v>
      </c>
      <c r="N31" t="str">
        <f>harmoniseMatchLink(getHyperlink(H31))</f>
        <v>http://www.dailygammon.com/bg/game/5000049/0/list#end</v>
      </c>
    </row>
    <row r="32" spans="1:14" ht="29" hidden="1" x14ac:dyDescent="0.35">
      <c r="A32" s="51" t="s">
        <v>92</v>
      </c>
      <c r="B32" s="52" t="s">
        <v>113</v>
      </c>
      <c r="C32" s="55" t="s">
        <v>83</v>
      </c>
      <c r="D32" s="54">
        <v>10.791666666666666</v>
      </c>
      <c r="E32" s="55" t="s">
        <v>1</v>
      </c>
      <c r="F32" s="55">
        <v>11</v>
      </c>
      <c r="G32" s="56" t="s">
        <v>57</v>
      </c>
      <c r="H32" s="57" t="s">
        <v>76</v>
      </c>
      <c r="I32" s="56" t="s">
        <v>56</v>
      </c>
      <c r="J32" t="str">
        <f t="shared" si="0"/>
        <v>dzsobacsi vs. hcc1670</v>
      </c>
      <c r="K32" t="str">
        <f t="shared" si="1"/>
        <v>dzsobacsi</v>
      </c>
      <c r="L32" t="str">
        <f t="shared" si="2"/>
        <v>hcc1670</v>
      </c>
      <c r="M32" t="b">
        <f t="shared" si="3"/>
        <v>1</v>
      </c>
      <c r="N32" t="str">
        <f>harmoniseMatchLink(getHyperlink(H32))</f>
        <v>http://www.dailygammon.com/bg/game/5000015/0/list#end</v>
      </c>
    </row>
    <row r="33" spans="1:14" ht="29" hidden="1" x14ac:dyDescent="0.35">
      <c r="A33" s="51" t="s">
        <v>95</v>
      </c>
      <c r="B33" s="52" t="s">
        <v>113</v>
      </c>
      <c r="C33" s="55" t="s">
        <v>83</v>
      </c>
      <c r="D33" s="54">
        <v>10.541666666666666</v>
      </c>
      <c r="E33" s="55" t="s">
        <v>1</v>
      </c>
      <c r="F33" s="55">
        <v>11</v>
      </c>
      <c r="G33" s="56" t="s">
        <v>58</v>
      </c>
      <c r="H33" s="57" t="s">
        <v>76</v>
      </c>
      <c r="I33" s="56" t="s">
        <v>56</v>
      </c>
      <c r="J33" t="str">
        <f t="shared" si="0"/>
        <v>dzsobacsi vs. Mattias Roos</v>
      </c>
      <c r="K33" t="str">
        <f t="shared" si="1"/>
        <v>dzsobacsi</v>
      </c>
      <c r="L33" t="str">
        <f t="shared" si="2"/>
        <v>Mattias Roos</v>
      </c>
      <c r="M33" t="b">
        <f t="shared" si="3"/>
        <v>1</v>
      </c>
      <c r="N33" t="str">
        <f>harmoniseMatchLink(getHyperlink(H33))</f>
        <v>http://www.dailygammon.com/bg/game/5000002/0/list#end</v>
      </c>
    </row>
    <row r="34" spans="1:14" ht="29" hidden="1" x14ac:dyDescent="0.35">
      <c r="A34" s="51" t="s">
        <v>106</v>
      </c>
      <c r="B34" s="52" t="s">
        <v>113</v>
      </c>
      <c r="C34" s="55" t="s">
        <v>83</v>
      </c>
      <c r="D34" s="54">
        <v>10.541666666666666</v>
      </c>
      <c r="E34" s="55" t="s">
        <v>1</v>
      </c>
      <c r="F34" s="55">
        <v>11</v>
      </c>
      <c r="G34" s="56" t="s">
        <v>59</v>
      </c>
      <c r="H34" s="57" t="s">
        <v>76</v>
      </c>
      <c r="I34" s="56" t="s">
        <v>56</v>
      </c>
      <c r="J34" t="str">
        <f t="shared" ref="J34:J65" si="4">IF(M34,I34 &amp; " vs. " &amp; G34,G34 &amp; " vs. " &amp; I34)</f>
        <v>dzsobacsi vs. Sandr</v>
      </c>
      <c r="K34" t="str">
        <f t="shared" ref="K34:K65" si="5">IF(M34,I34,G34)</f>
        <v>dzsobacsi</v>
      </c>
      <c r="L34" t="str">
        <f t="shared" ref="L34:L65" si="6">IF(M34,G34,I34)</f>
        <v>Sandr</v>
      </c>
      <c r="M34" t="b">
        <f t="shared" ref="M34:M65" si="7">isFirstLeg(H34)</f>
        <v>1</v>
      </c>
      <c r="N34" t="str">
        <f>harmoniseMatchLink(getHyperlink(H34))</f>
        <v>http://www.dailygammon.com/bg/game/4999996/0/list#end</v>
      </c>
    </row>
    <row r="35" spans="1:14" ht="29" hidden="1" x14ac:dyDescent="0.35">
      <c r="A35" s="51" t="s">
        <v>105</v>
      </c>
      <c r="B35" s="52" t="s">
        <v>113</v>
      </c>
      <c r="C35" s="55" t="s">
        <v>83</v>
      </c>
      <c r="D35" s="54">
        <v>10.625</v>
      </c>
      <c r="E35" s="55" t="s">
        <v>1</v>
      </c>
      <c r="F35" s="55">
        <v>11</v>
      </c>
      <c r="G35" s="56" t="s">
        <v>114</v>
      </c>
      <c r="H35" s="57" t="s">
        <v>76</v>
      </c>
      <c r="I35" s="56" t="s">
        <v>56</v>
      </c>
      <c r="J35" t="str">
        <f t="shared" si="4"/>
        <v>dzsobacsi vs. skonaman</v>
      </c>
      <c r="K35" t="str">
        <f t="shared" si="5"/>
        <v>dzsobacsi</v>
      </c>
      <c r="L35" t="str">
        <f t="shared" si="6"/>
        <v>skonaman</v>
      </c>
      <c r="M35" t="b">
        <f t="shared" si="7"/>
        <v>1</v>
      </c>
      <c r="N35" t="str">
        <f>harmoniseMatchLink(getHyperlink(H35))</f>
        <v>http://www.dailygammon.com/bg/game/5000102/0/list#end</v>
      </c>
    </row>
    <row r="36" spans="1:14" ht="29" hidden="1" x14ac:dyDescent="0.35">
      <c r="A36" s="51" t="s">
        <v>94</v>
      </c>
      <c r="B36" s="52" t="s">
        <v>113</v>
      </c>
      <c r="C36" s="55" t="s">
        <v>83</v>
      </c>
      <c r="D36" s="54">
        <v>10.541666666666666</v>
      </c>
      <c r="E36" s="55" t="s">
        <v>1</v>
      </c>
      <c r="F36" s="55">
        <v>11</v>
      </c>
      <c r="G36" s="56" t="s">
        <v>60</v>
      </c>
      <c r="H36" s="57" t="s">
        <v>76</v>
      </c>
      <c r="I36" s="56" t="s">
        <v>56</v>
      </c>
      <c r="J36" t="str">
        <f t="shared" si="4"/>
        <v>dzsobacsi vs. Zenswang</v>
      </c>
      <c r="K36" t="str">
        <f t="shared" si="5"/>
        <v>dzsobacsi</v>
      </c>
      <c r="L36" t="str">
        <f t="shared" si="6"/>
        <v>Zenswang</v>
      </c>
      <c r="M36" t="b">
        <f t="shared" si="7"/>
        <v>1</v>
      </c>
      <c r="N36" t="str">
        <f>harmoniseMatchLink(getHyperlink(H36))</f>
        <v>http://www.dailygammon.com/bg/game/5000001/0/list#end</v>
      </c>
    </row>
    <row r="37" spans="1:14" ht="29" hidden="1" x14ac:dyDescent="0.35">
      <c r="A37" s="51" t="s">
        <v>80</v>
      </c>
      <c r="B37" s="52" t="s">
        <v>113</v>
      </c>
      <c r="C37" s="55" t="s">
        <v>83</v>
      </c>
      <c r="D37" s="54">
        <v>10.625</v>
      </c>
      <c r="E37" s="55" t="s">
        <v>1</v>
      </c>
      <c r="F37" s="55">
        <v>11</v>
      </c>
      <c r="G37" s="56" t="s">
        <v>53</v>
      </c>
      <c r="H37" s="57" t="s">
        <v>76</v>
      </c>
      <c r="I37" s="56" t="s">
        <v>57</v>
      </c>
      <c r="J37" t="str">
        <f t="shared" si="4"/>
        <v>hcc1670 vs. Animalj</v>
      </c>
      <c r="K37" t="str">
        <f t="shared" si="5"/>
        <v>hcc1670</v>
      </c>
      <c r="L37" t="str">
        <f t="shared" si="6"/>
        <v>Animalj</v>
      </c>
      <c r="M37" t="b">
        <f t="shared" si="7"/>
        <v>1</v>
      </c>
      <c r="N37" t="str">
        <f>harmoniseMatchLink(getHyperlink(H37))</f>
        <v>http://www.dailygammon.com/bg/game/4999243/0/list#end</v>
      </c>
    </row>
    <row r="38" spans="1:14" ht="29" hidden="1" x14ac:dyDescent="0.35">
      <c r="A38" s="51" t="s">
        <v>97</v>
      </c>
      <c r="B38" s="52" t="s">
        <v>113</v>
      </c>
      <c r="C38" s="55" t="s">
        <v>83</v>
      </c>
      <c r="D38" s="54">
        <v>10.75</v>
      </c>
      <c r="E38" s="55" t="s">
        <v>1</v>
      </c>
      <c r="F38" s="55">
        <v>11</v>
      </c>
      <c r="G38" s="56" t="s">
        <v>54</v>
      </c>
      <c r="H38" s="57" t="s">
        <v>76</v>
      </c>
      <c r="I38" s="56" t="s">
        <v>57</v>
      </c>
      <c r="J38" t="str">
        <f t="shared" si="4"/>
        <v>hcc1670 vs. API</v>
      </c>
      <c r="K38" t="str">
        <f t="shared" si="5"/>
        <v>hcc1670</v>
      </c>
      <c r="L38" t="str">
        <f t="shared" si="6"/>
        <v>API</v>
      </c>
      <c r="M38" t="b">
        <f t="shared" si="7"/>
        <v>1</v>
      </c>
      <c r="N38" t="str">
        <f>harmoniseMatchLink(getHyperlink(H38))</f>
        <v>http://www.dailygammon.com/bg/game/4999073/0/list#end</v>
      </c>
    </row>
    <row r="39" spans="1:14" ht="29" hidden="1" x14ac:dyDescent="0.35">
      <c r="A39" s="51" t="s">
        <v>108</v>
      </c>
      <c r="B39" s="52" t="s">
        <v>113</v>
      </c>
      <c r="C39" s="55" t="s">
        <v>83</v>
      </c>
      <c r="D39" s="54">
        <v>10.916666666666666</v>
      </c>
      <c r="E39" s="55" t="s">
        <v>1</v>
      </c>
      <c r="F39" s="55">
        <v>11</v>
      </c>
      <c r="G39" s="56" t="s">
        <v>55</v>
      </c>
      <c r="H39" s="57" t="s">
        <v>76</v>
      </c>
      <c r="I39" s="56" t="s">
        <v>57</v>
      </c>
      <c r="J39" t="str">
        <f t="shared" si="4"/>
        <v>hcc1670 vs. Cafeplayer</v>
      </c>
      <c r="K39" t="str">
        <f t="shared" si="5"/>
        <v>hcc1670</v>
      </c>
      <c r="L39" t="str">
        <f t="shared" si="6"/>
        <v>Cafeplayer</v>
      </c>
      <c r="M39" t="b">
        <f t="shared" si="7"/>
        <v>1</v>
      </c>
      <c r="N39" t="str">
        <f>harmoniseMatchLink(getHyperlink(H39))</f>
        <v>http://www.dailygammon.com/bg/game/4999616/0/list#end</v>
      </c>
    </row>
    <row r="40" spans="1:14" ht="29" hidden="1" x14ac:dyDescent="0.35">
      <c r="A40" s="51" t="s">
        <v>77</v>
      </c>
      <c r="B40" s="52" t="s">
        <v>113</v>
      </c>
      <c r="C40" s="53">
        <v>0.95833333333333337</v>
      </c>
      <c r="D40" s="54">
        <v>11.208333333333334</v>
      </c>
      <c r="E40" s="55" t="s">
        <v>1</v>
      </c>
      <c r="F40" s="55">
        <v>11</v>
      </c>
      <c r="G40" s="56" t="s">
        <v>56</v>
      </c>
      <c r="H40" s="57" t="s">
        <v>76</v>
      </c>
      <c r="I40" s="56" t="s">
        <v>57</v>
      </c>
      <c r="J40" t="str">
        <f t="shared" si="4"/>
        <v>hcc1670 vs. dzsobacsi</v>
      </c>
      <c r="K40" t="str">
        <f t="shared" si="5"/>
        <v>hcc1670</v>
      </c>
      <c r="L40" t="str">
        <f t="shared" si="6"/>
        <v>dzsobacsi</v>
      </c>
      <c r="M40" t="b">
        <f t="shared" si="7"/>
        <v>1</v>
      </c>
      <c r="N40" t="str">
        <f>harmoniseMatchLink(getHyperlink(H40))</f>
        <v>http://www.dailygammon.com/bg/game/4999175/0/list#end</v>
      </c>
    </row>
    <row r="41" spans="1:14" ht="29" hidden="1" x14ac:dyDescent="0.35">
      <c r="A41" s="51" t="s">
        <v>98</v>
      </c>
      <c r="B41" s="52" t="s">
        <v>113</v>
      </c>
      <c r="C41" s="55" t="s">
        <v>83</v>
      </c>
      <c r="D41" s="54">
        <v>10.875</v>
      </c>
      <c r="E41" s="55" t="s">
        <v>1</v>
      </c>
      <c r="F41" s="55">
        <v>11</v>
      </c>
      <c r="G41" s="56" t="s">
        <v>58</v>
      </c>
      <c r="H41" s="57" t="s">
        <v>76</v>
      </c>
      <c r="I41" s="56" t="s">
        <v>57</v>
      </c>
      <c r="J41" t="str">
        <f t="shared" si="4"/>
        <v>hcc1670 vs. Mattias Roos</v>
      </c>
      <c r="K41" t="str">
        <f t="shared" si="5"/>
        <v>hcc1670</v>
      </c>
      <c r="L41" t="str">
        <f t="shared" si="6"/>
        <v>Mattias Roos</v>
      </c>
      <c r="M41" t="b">
        <f t="shared" si="7"/>
        <v>1</v>
      </c>
      <c r="N41" t="str">
        <f>harmoniseMatchLink(getHyperlink(H41))</f>
        <v>http://www.dailygammon.com/bg/game/4999447/0/list#end</v>
      </c>
    </row>
    <row r="42" spans="1:14" ht="29" x14ac:dyDescent="0.35">
      <c r="A42" s="51" t="s">
        <v>75</v>
      </c>
      <c r="B42" s="52" t="s">
        <v>113</v>
      </c>
      <c r="C42" s="53">
        <v>0.95694444444444438</v>
      </c>
      <c r="D42" s="54">
        <v>10.916666666666666</v>
      </c>
      <c r="E42" s="55" t="s">
        <v>1</v>
      </c>
      <c r="F42" s="55">
        <v>11</v>
      </c>
      <c r="G42" s="56" t="s">
        <v>115</v>
      </c>
      <c r="H42" s="57" t="s">
        <v>76</v>
      </c>
      <c r="I42" s="56" t="s">
        <v>57</v>
      </c>
      <c r="J42" t="str">
        <f t="shared" si="4"/>
        <v>hcc1670 vs. phinneas</v>
      </c>
      <c r="K42" t="str">
        <f t="shared" si="5"/>
        <v>hcc1670</v>
      </c>
      <c r="L42" t="str">
        <f t="shared" si="6"/>
        <v>phinneas</v>
      </c>
      <c r="M42" t="b">
        <f t="shared" si="7"/>
        <v>1</v>
      </c>
      <c r="N42" t="str">
        <f>harmoniseMatchLink(getHyperlink(H42))</f>
        <v>http://www.dailygammon.com/bg/game/4999156/0/list#end</v>
      </c>
    </row>
    <row r="43" spans="1:14" ht="29" hidden="1" x14ac:dyDescent="0.35">
      <c r="A43" s="51" t="s">
        <v>99</v>
      </c>
      <c r="B43" s="52" t="s">
        <v>113</v>
      </c>
      <c r="C43" s="55" t="s">
        <v>83</v>
      </c>
      <c r="D43" s="54">
        <v>10.708333333333334</v>
      </c>
      <c r="E43" s="55" t="s">
        <v>1</v>
      </c>
      <c r="F43" s="55">
        <v>11</v>
      </c>
      <c r="G43" s="56" t="s">
        <v>59</v>
      </c>
      <c r="H43" s="57" t="s">
        <v>76</v>
      </c>
      <c r="I43" s="56" t="s">
        <v>57</v>
      </c>
      <c r="J43" t="str">
        <f t="shared" si="4"/>
        <v>hcc1670 vs. Sandr</v>
      </c>
      <c r="K43" t="str">
        <f t="shared" si="5"/>
        <v>hcc1670</v>
      </c>
      <c r="L43" t="str">
        <f t="shared" si="6"/>
        <v>Sandr</v>
      </c>
      <c r="M43" t="b">
        <f t="shared" si="7"/>
        <v>1</v>
      </c>
      <c r="N43" t="str">
        <f>harmoniseMatchLink(getHyperlink(H43))</f>
        <v>http://www.dailygammon.com/bg/game/4999302/0/list#end</v>
      </c>
    </row>
    <row r="44" spans="1:14" ht="29" hidden="1" x14ac:dyDescent="0.35">
      <c r="A44" s="51" t="s">
        <v>85</v>
      </c>
      <c r="B44" s="52" t="s">
        <v>113</v>
      </c>
      <c r="C44" s="55" t="s">
        <v>83</v>
      </c>
      <c r="D44" s="54">
        <v>11.25</v>
      </c>
      <c r="E44" s="55" t="s">
        <v>1</v>
      </c>
      <c r="F44" s="55">
        <v>11</v>
      </c>
      <c r="G44" s="56" t="s">
        <v>114</v>
      </c>
      <c r="H44" s="57" t="s">
        <v>76</v>
      </c>
      <c r="I44" s="56" t="s">
        <v>57</v>
      </c>
      <c r="J44" t="str">
        <f t="shared" si="4"/>
        <v>hcc1670 vs. skonaman</v>
      </c>
      <c r="K44" t="str">
        <f t="shared" si="5"/>
        <v>hcc1670</v>
      </c>
      <c r="L44" t="str">
        <f t="shared" si="6"/>
        <v>skonaman</v>
      </c>
      <c r="M44" t="b">
        <f t="shared" si="7"/>
        <v>1</v>
      </c>
      <c r="N44" t="str">
        <f>harmoniseMatchLink(getHyperlink(H44))</f>
        <v>http://www.dailygammon.com/bg/game/4999122/0/list#end</v>
      </c>
    </row>
    <row r="45" spans="1:14" ht="29" hidden="1" x14ac:dyDescent="0.35">
      <c r="A45" s="51" t="s">
        <v>82</v>
      </c>
      <c r="B45" s="52" t="s">
        <v>113</v>
      </c>
      <c r="C45" s="55" t="s">
        <v>83</v>
      </c>
      <c r="D45" s="54">
        <v>10.791666666666666</v>
      </c>
      <c r="E45" s="55" t="s">
        <v>1</v>
      </c>
      <c r="F45" s="55">
        <v>11</v>
      </c>
      <c r="G45" s="56" t="s">
        <v>60</v>
      </c>
      <c r="H45" s="57" t="s">
        <v>76</v>
      </c>
      <c r="I45" s="56" t="s">
        <v>57</v>
      </c>
      <c r="J45" t="str">
        <f t="shared" si="4"/>
        <v>hcc1670 vs. Zenswang</v>
      </c>
      <c r="K45" t="str">
        <f t="shared" si="5"/>
        <v>hcc1670</v>
      </c>
      <c r="L45" t="str">
        <f t="shared" si="6"/>
        <v>Zenswang</v>
      </c>
      <c r="M45" t="b">
        <f t="shared" si="7"/>
        <v>1</v>
      </c>
      <c r="N45" t="str">
        <f>harmoniseMatchLink(getHyperlink(H45))</f>
        <v>http://www.dailygammon.com/bg/game/4999210/0/list#end</v>
      </c>
    </row>
    <row r="46" spans="1:14" ht="29" hidden="1" x14ac:dyDescent="0.35">
      <c r="A46" s="51" t="s">
        <v>100</v>
      </c>
      <c r="B46" s="52" t="s">
        <v>113</v>
      </c>
      <c r="C46" s="55" t="s">
        <v>83</v>
      </c>
      <c r="D46" s="54">
        <v>10.541666666666666</v>
      </c>
      <c r="E46" s="55" t="s">
        <v>1</v>
      </c>
      <c r="F46" s="55">
        <v>11</v>
      </c>
      <c r="G46" s="56" t="s">
        <v>53</v>
      </c>
      <c r="H46" s="57" t="s">
        <v>76</v>
      </c>
      <c r="I46" s="56" t="s">
        <v>58</v>
      </c>
      <c r="J46" t="str">
        <f t="shared" si="4"/>
        <v>Mattias Roos vs. Animalj</v>
      </c>
      <c r="K46" t="str">
        <f t="shared" si="5"/>
        <v>Mattias Roos</v>
      </c>
      <c r="L46" t="str">
        <f t="shared" si="6"/>
        <v>Animalj</v>
      </c>
      <c r="M46" t="b">
        <f t="shared" si="7"/>
        <v>1</v>
      </c>
      <c r="N46" t="str">
        <f>harmoniseMatchLink(getHyperlink(H46))</f>
        <v>http://www.dailygammon.com/bg/game/4999726/0/list#end</v>
      </c>
    </row>
    <row r="47" spans="1:14" ht="29" hidden="1" x14ac:dyDescent="0.35">
      <c r="A47" s="51" t="s">
        <v>79</v>
      </c>
      <c r="B47" s="52" t="s">
        <v>113</v>
      </c>
      <c r="C47" s="53">
        <v>0.90833333333333333</v>
      </c>
      <c r="D47" s="54">
        <v>10.625</v>
      </c>
      <c r="E47" s="55" t="s">
        <v>1</v>
      </c>
      <c r="F47" s="55">
        <v>11</v>
      </c>
      <c r="G47" s="56" t="s">
        <v>54</v>
      </c>
      <c r="H47" s="57" t="s">
        <v>76</v>
      </c>
      <c r="I47" s="56" t="s">
        <v>58</v>
      </c>
      <c r="J47" t="str">
        <f t="shared" si="4"/>
        <v>Mattias Roos vs. API</v>
      </c>
      <c r="K47" t="str">
        <f t="shared" si="5"/>
        <v>Mattias Roos</v>
      </c>
      <c r="L47" t="str">
        <f t="shared" si="6"/>
        <v>API</v>
      </c>
      <c r="M47" t="b">
        <f t="shared" si="7"/>
        <v>1</v>
      </c>
      <c r="N47" t="str">
        <f>harmoniseMatchLink(getHyperlink(H47))</f>
        <v>http://www.dailygammon.com/bg/game/4999455/0/list#end</v>
      </c>
    </row>
    <row r="48" spans="1:14" ht="29" hidden="1" x14ac:dyDescent="0.35">
      <c r="A48" s="51" t="s">
        <v>98</v>
      </c>
      <c r="B48" s="52" t="s">
        <v>113</v>
      </c>
      <c r="C48" s="55" t="s">
        <v>83</v>
      </c>
      <c r="D48" s="54">
        <v>10.583333333333334</v>
      </c>
      <c r="E48" s="55" t="s">
        <v>1</v>
      </c>
      <c r="F48" s="55">
        <v>11</v>
      </c>
      <c r="G48" s="56" t="s">
        <v>55</v>
      </c>
      <c r="H48" s="57" t="s">
        <v>76</v>
      </c>
      <c r="I48" s="56" t="s">
        <v>58</v>
      </c>
      <c r="J48" t="str">
        <f t="shared" si="4"/>
        <v>Mattias Roos vs. Cafeplayer</v>
      </c>
      <c r="K48" t="str">
        <f t="shared" si="5"/>
        <v>Mattias Roos</v>
      </c>
      <c r="L48" t="str">
        <f t="shared" si="6"/>
        <v>Cafeplayer</v>
      </c>
      <c r="M48" t="b">
        <f t="shared" si="7"/>
        <v>1</v>
      </c>
      <c r="N48" t="str">
        <f>harmoniseMatchLink(getHyperlink(H48))</f>
        <v>http://www.dailygammon.com/bg/game/4999617/0/list#end</v>
      </c>
    </row>
    <row r="49" spans="1:14" ht="29" hidden="1" x14ac:dyDescent="0.35">
      <c r="A49" s="51" t="s">
        <v>103</v>
      </c>
      <c r="B49" s="52" t="s">
        <v>113</v>
      </c>
      <c r="C49" s="53">
        <v>0.90138888888888891</v>
      </c>
      <c r="D49" s="54">
        <v>10.666666666666666</v>
      </c>
      <c r="E49" s="55" t="s">
        <v>1</v>
      </c>
      <c r="F49" s="55">
        <v>11</v>
      </c>
      <c r="G49" s="56" t="s">
        <v>56</v>
      </c>
      <c r="H49" s="57" t="s">
        <v>76</v>
      </c>
      <c r="I49" s="56" t="s">
        <v>58</v>
      </c>
      <c r="J49" t="str">
        <f t="shared" si="4"/>
        <v>Mattias Roos vs. dzsobacsi</v>
      </c>
      <c r="K49" t="str">
        <f t="shared" si="5"/>
        <v>Mattias Roos</v>
      </c>
      <c r="L49" t="str">
        <f t="shared" si="6"/>
        <v>dzsobacsi</v>
      </c>
      <c r="M49" t="b">
        <f t="shared" si="7"/>
        <v>1</v>
      </c>
      <c r="N49" t="str">
        <f>harmoniseMatchLink(getHyperlink(H49))</f>
        <v>http://www.dailygammon.com/bg/game/4999662/0/list#end</v>
      </c>
    </row>
    <row r="50" spans="1:14" ht="29" hidden="1" x14ac:dyDescent="0.35">
      <c r="A50" s="51" t="s">
        <v>81</v>
      </c>
      <c r="B50" s="52" t="s">
        <v>113</v>
      </c>
      <c r="C50" s="53">
        <v>0.92499999999999993</v>
      </c>
      <c r="D50" s="54">
        <v>10.833333333333334</v>
      </c>
      <c r="E50" s="55" t="s">
        <v>1</v>
      </c>
      <c r="F50" s="55">
        <v>11</v>
      </c>
      <c r="G50" s="56" t="s">
        <v>57</v>
      </c>
      <c r="H50" s="57" t="s">
        <v>76</v>
      </c>
      <c r="I50" s="56" t="s">
        <v>58</v>
      </c>
      <c r="J50" t="str">
        <f t="shared" si="4"/>
        <v>Mattias Roos vs. hcc1670</v>
      </c>
      <c r="K50" t="str">
        <f t="shared" si="5"/>
        <v>Mattias Roos</v>
      </c>
      <c r="L50" t="str">
        <f t="shared" si="6"/>
        <v>hcc1670</v>
      </c>
      <c r="M50" t="b">
        <f t="shared" si="7"/>
        <v>1</v>
      </c>
      <c r="N50" t="str">
        <f>harmoniseMatchLink(getHyperlink(H50))</f>
        <v>http://www.dailygammon.com/bg/game/4999556/0/list#end</v>
      </c>
    </row>
    <row r="51" spans="1:14" ht="29" x14ac:dyDescent="0.35">
      <c r="A51" s="51" t="s">
        <v>78</v>
      </c>
      <c r="B51" s="52" t="s">
        <v>113</v>
      </c>
      <c r="C51" s="53">
        <v>0.95277777777777783</v>
      </c>
      <c r="D51" s="54">
        <v>10.541666666666666</v>
      </c>
      <c r="E51" s="55" t="s">
        <v>1</v>
      </c>
      <c r="F51" s="55">
        <v>11</v>
      </c>
      <c r="G51" s="56" t="s">
        <v>115</v>
      </c>
      <c r="H51" s="57" t="s">
        <v>76</v>
      </c>
      <c r="I51" s="56" t="s">
        <v>58</v>
      </c>
      <c r="J51" t="str">
        <f t="shared" si="4"/>
        <v>Mattias Roos vs. phinneas</v>
      </c>
      <c r="K51" t="str">
        <f t="shared" si="5"/>
        <v>Mattias Roos</v>
      </c>
      <c r="L51" t="str">
        <f t="shared" si="6"/>
        <v>phinneas</v>
      </c>
      <c r="M51" t="b">
        <f t="shared" si="7"/>
        <v>1</v>
      </c>
      <c r="N51" t="str">
        <f>harmoniseMatchLink(getHyperlink(H51))</f>
        <v>http://www.dailygammon.com/bg/game/4999453/0/list#end</v>
      </c>
    </row>
    <row r="52" spans="1:14" ht="29" hidden="1" x14ac:dyDescent="0.35">
      <c r="A52" s="51" t="s">
        <v>108</v>
      </c>
      <c r="B52" s="52" t="s">
        <v>113</v>
      </c>
      <c r="C52" s="55" t="s">
        <v>83</v>
      </c>
      <c r="D52" s="54">
        <v>10.625</v>
      </c>
      <c r="E52" s="55" t="s">
        <v>1</v>
      </c>
      <c r="F52" s="55">
        <v>11</v>
      </c>
      <c r="G52" s="56" t="s">
        <v>59</v>
      </c>
      <c r="H52" s="57" t="s">
        <v>76</v>
      </c>
      <c r="I52" s="56" t="s">
        <v>58</v>
      </c>
      <c r="J52" t="str">
        <f t="shared" si="4"/>
        <v>Mattias Roos vs. Sandr</v>
      </c>
      <c r="K52" t="str">
        <f t="shared" si="5"/>
        <v>Mattias Roos</v>
      </c>
      <c r="L52" t="str">
        <f t="shared" si="6"/>
        <v>Sandr</v>
      </c>
      <c r="M52" t="b">
        <f t="shared" si="7"/>
        <v>1</v>
      </c>
      <c r="N52" t="str">
        <f>harmoniseMatchLink(getHyperlink(H52))</f>
        <v>http://www.dailygammon.com/bg/game/4999715/0/list#end</v>
      </c>
    </row>
    <row r="53" spans="1:14" ht="29" hidden="1" x14ac:dyDescent="0.35">
      <c r="A53" s="51" t="s">
        <v>80</v>
      </c>
      <c r="B53" s="52" t="s">
        <v>113</v>
      </c>
      <c r="C53" s="53">
        <v>0.90833333333333333</v>
      </c>
      <c r="D53" s="54">
        <v>10.541666666666666</v>
      </c>
      <c r="E53" s="55" t="s">
        <v>1</v>
      </c>
      <c r="F53" s="55">
        <v>11</v>
      </c>
      <c r="G53" s="56" t="s">
        <v>114</v>
      </c>
      <c r="H53" s="57" t="s">
        <v>76</v>
      </c>
      <c r="I53" s="56" t="s">
        <v>58</v>
      </c>
      <c r="J53" t="str">
        <f t="shared" si="4"/>
        <v>Mattias Roos vs. skonaman</v>
      </c>
      <c r="K53" t="str">
        <f t="shared" si="5"/>
        <v>Mattias Roos</v>
      </c>
      <c r="L53" t="str">
        <f t="shared" si="6"/>
        <v>skonaman</v>
      </c>
      <c r="M53" t="b">
        <f t="shared" si="7"/>
        <v>1</v>
      </c>
      <c r="N53" t="str">
        <f>harmoniseMatchLink(getHyperlink(H53))</f>
        <v>http://www.dailygammon.com/bg/game/4999466/0/list#end</v>
      </c>
    </row>
    <row r="54" spans="1:14" ht="29" hidden="1" x14ac:dyDescent="0.35">
      <c r="A54" s="51" t="s">
        <v>99</v>
      </c>
      <c r="B54" s="52" t="s">
        <v>113</v>
      </c>
      <c r="C54" s="53">
        <v>0.95277777777777783</v>
      </c>
      <c r="D54" s="54">
        <v>10.708333333333334</v>
      </c>
      <c r="E54" s="55" t="s">
        <v>1</v>
      </c>
      <c r="F54" s="55">
        <v>11</v>
      </c>
      <c r="G54" s="56" t="s">
        <v>60</v>
      </c>
      <c r="H54" s="57" t="s">
        <v>76</v>
      </c>
      <c r="I54" s="56" t="s">
        <v>58</v>
      </c>
      <c r="J54" t="str">
        <f t="shared" si="4"/>
        <v>Mattias Roos vs. Zenswang</v>
      </c>
      <c r="K54" t="str">
        <f t="shared" si="5"/>
        <v>Mattias Roos</v>
      </c>
      <c r="L54" t="str">
        <f t="shared" si="6"/>
        <v>Zenswang</v>
      </c>
      <c r="M54" t="b">
        <f t="shared" si="7"/>
        <v>1</v>
      </c>
      <c r="N54" t="str">
        <f>harmoniseMatchLink(getHyperlink(H54))</f>
        <v>http://www.dailygammon.com/bg/game/4999560/0/list#end</v>
      </c>
    </row>
    <row r="55" spans="1:14" ht="29" hidden="1" x14ac:dyDescent="0.35">
      <c r="A55" s="51" t="s">
        <v>110</v>
      </c>
      <c r="B55" s="52" t="s">
        <v>113</v>
      </c>
      <c r="C55" s="55" t="s">
        <v>83</v>
      </c>
      <c r="D55" s="54">
        <v>10.583333333333334</v>
      </c>
      <c r="E55" s="55" t="s">
        <v>1</v>
      </c>
      <c r="F55" s="55">
        <v>11</v>
      </c>
      <c r="G55" s="56" t="s">
        <v>53</v>
      </c>
      <c r="H55" s="57" t="s">
        <v>76</v>
      </c>
      <c r="I55" s="56" t="s">
        <v>115</v>
      </c>
      <c r="J55" t="str">
        <f t="shared" si="4"/>
        <v>phinneas vs. Animalj</v>
      </c>
      <c r="K55" t="str">
        <f t="shared" si="5"/>
        <v>phinneas</v>
      </c>
      <c r="L55" t="str">
        <f t="shared" si="6"/>
        <v>Animalj</v>
      </c>
      <c r="M55" t="b">
        <f t="shared" si="7"/>
        <v>1</v>
      </c>
      <c r="N55" t="str">
        <f>harmoniseMatchLink(getHyperlink(H55))</f>
        <v>http://www.dailygammon.com/bg/game/4999241/0/list#end</v>
      </c>
    </row>
    <row r="56" spans="1:14" ht="29" hidden="1" x14ac:dyDescent="0.35">
      <c r="A56" s="51" t="s">
        <v>109</v>
      </c>
      <c r="B56" s="52" t="s">
        <v>113</v>
      </c>
      <c r="C56" s="55" t="s">
        <v>83</v>
      </c>
      <c r="D56" s="54">
        <v>10.541666666666666</v>
      </c>
      <c r="E56" s="55" t="s">
        <v>1</v>
      </c>
      <c r="F56" s="55">
        <v>11</v>
      </c>
      <c r="G56" s="56" t="s">
        <v>54</v>
      </c>
      <c r="H56" s="57" t="s">
        <v>76</v>
      </c>
      <c r="I56" s="56" t="s">
        <v>115</v>
      </c>
      <c r="J56" t="str">
        <f t="shared" si="4"/>
        <v>phinneas vs. API</v>
      </c>
      <c r="K56" t="str">
        <f t="shared" si="5"/>
        <v>phinneas</v>
      </c>
      <c r="L56" t="str">
        <f t="shared" si="6"/>
        <v>API</v>
      </c>
      <c r="M56" t="b">
        <f t="shared" si="7"/>
        <v>1</v>
      </c>
      <c r="N56" t="str">
        <f>harmoniseMatchLink(getHyperlink(H56))</f>
        <v>http://www.dailygammon.com/bg/game/4998859/0/list#end</v>
      </c>
    </row>
    <row r="57" spans="1:14" ht="29" hidden="1" x14ac:dyDescent="0.35">
      <c r="A57" s="51" t="s">
        <v>88</v>
      </c>
      <c r="B57" s="52" t="s">
        <v>113</v>
      </c>
      <c r="C57" s="55" t="s">
        <v>83</v>
      </c>
      <c r="D57" s="54">
        <v>11.041666666666666</v>
      </c>
      <c r="E57" s="55" t="s">
        <v>1</v>
      </c>
      <c r="F57" s="55">
        <v>11</v>
      </c>
      <c r="G57" s="56" t="s">
        <v>55</v>
      </c>
      <c r="H57" s="57" t="s">
        <v>76</v>
      </c>
      <c r="I57" s="56" t="s">
        <v>115</v>
      </c>
      <c r="J57" t="str">
        <f t="shared" si="4"/>
        <v>phinneas vs. Cafeplayer</v>
      </c>
      <c r="K57" t="str">
        <f t="shared" si="5"/>
        <v>phinneas</v>
      </c>
      <c r="L57" t="str">
        <f t="shared" si="6"/>
        <v>Cafeplayer</v>
      </c>
      <c r="M57" t="b">
        <f t="shared" si="7"/>
        <v>1</v>
      </c>
      <c r="N57" t="str">
        <f>harmoniseMatchLink(getHyperlink(H57))</f>
        <v>http://www.dailygammon.com/bg/game/4998619/0/list#end</v>
      </c>
    </row>
    <row r="58" spans="1:14" ht="29" hidden="1" x14ac:dyDescent="0.35">
      <c r="A58" s="51" t="s">
        <v>86</v>
      </c>
      <c r="B58" s="52" t="s">
        <v>113</v>
      </c>
      <c r="C58" s="53">
        <v>0.96527777777777779</v>
      </c>
      <c r="D58" s="54">
        <v>10.625</v>
      </c>
      <c r="E58" s="55" t="s">
        <v>1</v>
      </c>
      <c r="F58" s="55">
        <v>11</v>
      </c>
      <c r="G58" s="56" t="s">
        <v>56</v>
      </c>
      <c r="H58" s="57" t="s">
        <v>76</v>
      </c>
      <c r="I58" s="56" t="s">
        <v>115</v>
      </c>
      <c r="J58" t="str">
        <f t="shared" si="4"/>
        <v>phinneas vs. dzsobacsi</v>
      </c>
      <c r="K58" t="str">
        <f t="shared" si="5"/>
        <v>phinneas</v>
      </c>
      <c r="L58" t="str">
        <f t="shared" si="6"/>
        <v>dzsobacsi</v>
      </c>
      <c r="M58" t="b">
        <f t="shared" si="7"/>
        <v>1</v>
      </c>
      <c r="N58" t="str">
        <f>harmoniseMatchLink(getHyperlink(H58))</f>
        <v>http://www.dailygammon.com/bg/game/4998695/0/list#end</v>
      </c>
    </row>
    <row r="59" spans="1:14" ht="29" hidden="1" x14ac:dyDescent="0.35">
      <c r="A59" s="51" t="s">
        <v>111</v>
      </c>
      <c r="B59" s="52" t="s">
        <v>113</v>
      </c>
      <c r="C59" s="55" t="s">
        <v>83</v>
      </c>
      <c r="D59" s="54">
        <v>10.958333333333334</v>
      </c>
      <c r="E59" s="55" t="s">
        <v>1</v>
      </c>
      <c r="F59" s="55">
        <v>11</v>
      </c>
      <c r="G59" s="56" t="s">
        <v>57</v>
      </c>
      <c r="H59" s="57" t="s">
        <v>76</v>
      </c>
      <c r="I59" s="56" t="s">
        <v>115</v>
      </c>
      <c r="J59" t="str">
        <f t="shared" si="4"/>
        <v>phinneas vs. hcc1670</v>
      </c>
      <c r="K59" t="str">
        <f t="shared" si="5"/>
        <v>phinneas</v>
      </c>
      <c r="L59" t="str">
        <f t="shared" si="6"/>
        <v>hcc1670</v>
      </c>
      <c r="M59" t="b">
        <f t="shared" si="7"/>
        <v>1</v>
      </c>
      <c r="N59" t="str">
        <f>harmoniseMatchLink(getHyperlink(H59))</f>
        <v>http://www.dailygammon.com/bg/game/4998971/0/list#end</v>
      </c>
    </row>
    <row r="60" spans="1:14" ht="29" hidden="1" x14ac:dyDescent="0.35">
      <c r="A60" s="51" t="s">
        <v>92</v>
      </c>
      <c r="B60" s="52" t="s">
        <v>113</v>
      </c>
      <c r="C60" s="55" t="s">
        <v>83</v>
      </c>
      <c r="D60" s="54">
        <v>10.583333333333334</v>
      </c>
      <c r="E60" s="55" t="s">
        <v>1</v>
      </c>
      <c r="F60" s="55">
        <v>11</v>
      </c>
      <c r="G60" s="56" t="s">
        <v>58</v>
      </c>
      <c r="H60" s="57" t="s">
        <v>76</v>
      </c>
      <c r="I60" s="56" t="s">
        <v>115</v>
      </c>
      <c r="J60" t="str">
        <f t="shared" si="4"/>
        <v>phinneas vs. Mattias Roos</v>
      </c>
      <c r="K60" t="str">
        <f t="shared" si="5"/>
        <v>phinneas</v>
      </c>
      <c r="L60" t="str">
        <f t="shared" si="6"/>
        <v>Mattias Roos</v>
      </c>
      <c r="M60" t="b">
        <f t="shared" si="7"/>
        <v>1</v>
      </c>
      <c r="N60" t="str">
        <f>harmoniseMatchLink(getHyperlink(H60))</f>
        <v>http://www.dailygammon.com/bg/game/4999437/0/list#end</v>
      </c>
    </row>
    <row r="61" spans="1:14" ht="29" hidden="1" x14ac:dyDescent="0.35">
      <c r="A61" s="51" t="s">
        <v>91</v>
      </c>
      <c r="B61" s="52" t="s">
        <v>113</v>
      </c>
      <c r="C61" s="55" t="s">
        <v>83</v>
      </c>
      <c r="D61" s="54">
        <v>10.75</v>
      </c>
      <c r="E61" s="55" t="s">
        <v>1</v>
      </c>
      <c r="F61" s="55">
        <v>11</v>
      </c>
      <c r="G61" s="56" t="s">
        <v>59</v>
      </c>
      <c r="H61" s="57" t="s">
        <v>76</v>
      </c>
      <c r="I61" s="56" t="s">
        <v>115</v>
      </c>
      <c r="J61" t="str">
        <f t="shared" si="4"/>
        <v>phinneas vs. Sandr</v>
      </c>
      <c r="K61" t="str">
        <f t="shared" si="5"/>
        <v>phinneas</v>
      </c>
      <c r="L61" t="str">
        <f t="shared" si="6"/>
        <v>Sandr</v>
      </c>
      <c r="M61" t="b">
        <f t="shared" si="7"/>
        <v>1</v>
      </c>
      <c r="N61" t="str">
        <f>harmoniseMatchLink(getHyperlink(H61))</f>
        <v>http://www.dailygammon.com/bg/game/4998766/0/list#end</v>
      </c>
    </row>
    <row r="62" spans="1:14" ht="29" hidden="1" x14ac:dyDescent="0.35">
      <c r="A62" s="51" t="s">
        <v>90</v>
      </c>
      <c r="B62" s="52" t="s">
        <v>113</v>
      </c>
      <c r="C62" s="53">
        <v>0.97361111111111109</v>
      </c>
      <c r="D62" s="54">
        <v>10.75</v>
      </c>
      <c r="E62" s="55" t="s">
        <v>1</v>
      </c>
      <c r="F62" s="55">
        <v>11</v>
      </c>
      <c r="G62" s="56" t="s">
        <v>114</v>
      </c>
      <c r="H62" s="57" t="s">
        <v>76</v>
      </c>
      <c r="I62" s="56" t="s">
        <v>115</v>
      </c>
      <c r="J62" t="str">
        <f t="shared" si="4"/>
        <v>phinneas vs. skonaman</v>
      </c>
      <c r="K62" t="str">
        <f t="shared" si="5"/>
        <v>phinneas</v>
      </c>
      <c r="L62" t="str">
        <f t="shared" si="6"/>
        <v>skonaman</v>
      </c>
      <c r="M62" t="b">
        <f t="shared" si="7"/>
        <v>1</v>
      </c>
      <c r="N62" t="str">
        <f>harmoniseMatchLink(getHyperlink(H62))</f>
        <v>http://www.dailygammon.com/bg/game/4999120/0/list#end</v>
      </c>
    </row>
    <row r="63" spans="1:14" ht="29" hidden="1" x14ac:dyDescent="0.35">
      <c r="A63" s="51" t="s">
        <v>87</v>
      </c>
      <c r="B63" s="52" t="s">
        <v>113</v>
      </c>
      <c r="C63" s="55" t="s">
        <v>83</v>
      </c>
      <c r="D63" s="54">
        <v>10.708333333333334</v>
      </c>
      <c r="E63" s="55" t="s">
        <v>1</v>
      </c>
      <c r="F63" s="55">
        <v>11</v>
      </c>
      <c r="G63" s="56" t="s">
        <v>60</v>
      </c>
      <c r="H63" s="57" t="s">
        <v>76</v>
      </c>
      <c r="I63" s="56" t="s">
        <v>115</v>
      </c>
      <c r="J63" t="str">
        <f t="shared" si="4"/>
        <v>phinneas vs. Zenswang</v>
      </c>
      <c r="K63" t="str">
        <f t="shared" si="5"/>
        <v>phinneas</v>
      </c>
      <c r="L63" t="str">
        <f t="shared" si="6"/>
        <v>Zenswang</v>
      </c>
      <c r="M63" t="b">
        <f t="shared" si="7"/>
        <v>1</v>
      </c>
      <c r="N63" t="str">
        <f>harmoniseMatchLink(getHyperlink(H63))</f>
        <v>http://www.dailygammon.com/bg/game/4998624/0/list#end</v>
      </c>
    </row>
    <row r="64" spans="1:14" ht="29" hidden="1" x14ac:dyDescent="0.35">
      <c r="A64" s="51" t="s">
        <v>105</v>
      </c>
      <c r="B64" s="52" t="s">
        <v>113</v>
      </c>
      <c r="C64" s="55" t="s">
        <v>83</v>
      </c>
      <c r="D64" s="54">
        <v>10.625</v>
      </c>
      <c r="E64" s="55" t="s">
        <v>1</v>
      </c>
      <c r="F64" s="55">
        <v>11</v>
      </c>
      <c r="G64" s="56" t="s">
        <v>53</v>
      </c>
      <c r="H64" s="57" t="s">
        <v>76</v>
      </c>
      <c r="I64" s="56" t="s">
        <v>59</v>
      </c>
      <c r="J64" t="str">
        <f t="shared" si="4"/>
        <v>Sandr vs. Animalj</v>
      </c>
      <c r="K64" t="str">
        <f t="shared" si="5"/>
        <v>Sandr</v>
      </c>
      <c r="L64" t="str">
        <f t="shared" si="6"/>
        <v>Animalj</v>
      </c>
      <c r="M64" t="b">
        <f t="shared" si="7"/>
        <v>1</v>
      </c>
      <c r="N64" t="str">
        <f>harmoniseMatchLink(getHyperlink(H64))</f>
        <v>http://www.dailygammon.com/bg/game/4999242/0/list#end</v>
      </c>
    </row>
    <row r="65" spans="1:14" ht="29" hidden="1" x14ac:dyDescent="0.35">
      <c r="A65" s="51" t="s">
        <v>106</v>
      </c>
      <c r="B65" s="52" t="s">
        <v>113</v>
      </c>
      <c r="C65" s="53">
        <v>0.90347222222222223</v>
      </c>
      <c r="D65" s="54">
        <v>10.625</v>
      </c>
      <c r="E65" s="55" t="s">
        <v>1</v>
      </c>
      <c r="F65" s="55">
        <v>11</v>
      </c>
      <c r="G65" s="56" t="s">
        <v>54</v>
      </c>
      <c r="H65" s="57" t="s">
        <v>76</v>
      </c>
      <c r="I65" s="56" t="s">
        <v>59</v>
      </c>
      <c r="J65" t="str">
        <f t="shared" si="4"/>
        <v>Sandr vs. API</v>
      </c>
      <c r="K65" t="str">
        <f t="shared" si="5"/>
        <v>Sandr</v>
      </c>
      <c r="L65" t="str">
        <f t="shared" si="6"/>
        <v>API</v>
      </c>
      <c r="M65" t="b">
        <f t="shared" si="7"/>
        <v>1</v>
      </c>
      <c r="N65" t="str">
        <f>harmoniseMatchLink(getHyperlink(H65))</f>
        <v>http://www.dailygammon.com/bg/game/4998857/0/list#end</v>
      </c>
    </row>
    <row r="66" spans="1:14" ht="29" hidden="1" x14ac:dyDescent="0.35">
      <c r="A66" s="51" t="s">
        <v>140</v>
      </c>
      <c r="B66" s="52" t="s">
        <v>113</v>
      </c>
      <c r="C66" s="53">
        <v>0.69027777777777777</v>
      </c>
      <c r="D66" s="54">
        <v>10.583333333333334</v>
      </c>
      <c r="E66" s="55" t="s">
        <v>1</v>
      </c>
      <c r="F66" s="55">
        <v>11</v>
      </c>
      <c r="G66" s="56" t="s">
        <v>55</v>
      </c>
      <c r="H66" s="57" t="s">
        <v>76</v>
      </c>
      <c r="I66" s="56" t="s">
        <v>59</v>
      </c>
      <c r="J66" t="str">
        <f t="shared" ref="J66:J97" si="8">IF(M66,I66 &amp; " vs. " &amp; G66,G66 &amp; " vs. " &amp; I66)</f>
        <v>Sandr vs. Cafeplayer</v>
      </c>
      <c r="K66" t="str">
        <f t="shared" ref="K66:K97" si="9">IF(M66,I66,G66)</f>
        <v>Sandr</v>
      </c>
      <c r="L66" t="str">
        <f t="shared" ref="L66:L97" si="10">IF(M66,G66,I66)</f>
        <v>Cafeplayer</v>
      </c>
      <c r="M66" t="b">
        <f t="shared" ref="M66:M97" si="11">isFirstLeg(H66)</f>
        <v>1</v>
      </c>
      <c r="N66" t="str">
        <f>harmoniseMatchLink(getHyperlink(H66))</f>
        <v>http://www.dailygammon.com/bg/game/4999615/0/list#end</v>
      </c>
    </row>
    <row r="67" spans="1:14" ht="29" hidden="1" x14ac:dyDescent="0.35">
      <c r="A67" s="51" t="s">
        <v>110</v>
      </c>
      <c r="B67" s="52" t="s">
        <v>113</v>
      </c>
      <c r="C67" s="53">
        <v>0.9</v>
      </c>
      <c r="D67" s="54">
        <v>10.875</v>
      </c>
      <c r="E67" s="55" t="s">
        <v>1</v>
      </c>
      <c r="F67" s="55">
        <v>11</v>
      </c>
      <c r="G67" s="56" t="s">
        <v>56</v>
      </c>
      <c r="H67" s="57" t="s">
        <v>76</v>
      </c>
      <c r="I67" s="56" t="s">
        <v>59</v>
      </c>
      <c r="J67" t="str">
        <f t="shared" si="8"/>
        <v>Sandr vs. dzsobacsi</v>
      </c>
      <c r="K67" t="str">
        <f t="shared" si="9"/>
        <v>Sandr</v>
      </c>
      <c r="L67" t="str">
        <f t="shared" si="10"/>
        <v>dzsobacsi</v>
      </c>
      <c r="M67" t="b">
        <f t="shared" si="11"/>
        <v>1</v>
      </c>
      <c r="N67" t="str">
        <f>harmoniseMatchLink(getHyperlink(H67))</f>
        <v>http://www.dailygammon.com/bg/game/4998922/0/list#end</v>
      </c>
    </row>
    <row r="68" spans="1:14" ht="29" hidden="1" x14ac:dyDescent="0.35">
      <c r="A68" s="51" t="s">
        <v>94</v>
      </c>
      <c r="B68" s="52" t="s">
        <v>113</v>
      </c>
      <c r="C68" s="53">
        <v>0.7368055555555556</v>
      </c>
      <c r="D68" s="54">
        <v>10.833333333333334</v>
      </c>
      <c r="E68" s="55" t="s">
        <v>1</v>
      </c>
      <c r="F68" s="55">
        <v>11</v>
      </c>
      <c r="G68" s="56" t="s">
        <v>57</v>
      </c>
      <c r="H68" s="57" t="s">
        <v>76</v>
      </c>
      <c r="I68" s="56" t="s">
        <v>59</v>
      </c>
      <c r="J68" t="str">
        <f t="shared" si="8"/>
        <v>Sandr vs. hcc1670</v>
      </c>
      <c r="K68" t="str">
        <f t="shared" si="9"/>
        <v>Sandr</v>
      </c>
      <c r="L68" t="str">
        <f t="shared" si="10"/>
        <v>hcc1670</v>
      </c>
      <c r="M68" t="b">
        <f t="shared" si="11"/>
        <v>1</v>
      </c>
      <c r="N68" t="str">
        <f>harmoniseMatchLink(getHyperlink(H68))</f>
        <v>http://www.dailygammon.com/bg/game/4998972/0/list#end</v>
      </c>
    </row>
    <row r="69" spans="1:14" ht="29" hidden="1" x14ac:dyDescent="0.35">
      <c r="A69" s="51" t="s">
        <v>107</v>
      </c>
      <c r="B69" s="52" t="s">
        <v>113</v>
      </c>
      <c r="C69" s="53">
        <v>0.83750000000000002</v>
      </c>
      <c r="D69" s="54">
        <v>10.625</v>
      </c>
      <c r="E69" s="55" t="s">
        <v>1</v>
      </c>
      <c r="F69" s="55">
        <v>11</v>
      </c>
      <c r="G69" s="56" t="s">
        <v>58</v>
      </c>
      <c r="H69" s="57" t="s">
        <v>76</v>
      </c>
      <c r="I69" s="56" t="s">
        <v>59</v>
      </c>
      <c r="J69" t="str">
        <f t="shared" si="8"/>
        <v>Sandr vs. Mattias Roos</v>
      </c>
      <c r="K69" t="str">
        <f t="shared" si="9"/>
        <v>Sandr</v>
      </c>
      <c r="L69" t="str">
        <f t="shared" si="10"/>
        <v>Mattias Roos</v>
      </c>
      <c r="M69" t="b">
        <f t="shared" si="11"/>
        <v>1</v>
      </c>
      <c r="N69" t="str">
        <f>harmoniseMatchLink(getHyperlink(H69))</f>
        <v>http://www.dailygammon.com/bg/game/4999438/0/list#end</v>
      </c>
    </row>
    <row r="70" spans="1:14" ht="29" x14ac:dyDescent="0.35">
      <c r="A70" s="51" t="s">
        <v>92</v>
      </c>
      <c r="B70" s="52" t="s">
        <v>113</v>
      </c>
      <c r="C70" s="53">
        <v>0.9555555555555556</v>
      </c>
      <c r="D70" s="54">
        <v>10.708333333333334</v>
      </c>
      <c r="E70" s="55" t="s">
        <v>1</v>
      </c>
      <c r="F70" s="55">
        <v>11</v>
      </c>
      <c r="G70" s="56" t="s">
        <v>115</v>
      </c>
      <c r="H70" s="57" t="s">
        <v>76</v>
      </c>
      <c r="I70" s="56" t="s">
        <v>59</v>
      </c>
      <c r="J70" t="str">
        <f t="shared" si="8"/>
        <v>Sandr vs. phinneas</v>
      </c>
      <c r="K70" t="str">
        <f t="shared" si="9"/>
        <v>Sandr</v>
      </c>
      <c r="L70" t="str">
        <f t="shared" si="10"/>
        <v>phinneas</v>
      </c>
      <c r="M70" t="b">
        <f t="shared" si="11"/>
        <v>1</v>
      </c>
      <c r="N70" t="str">
        <f>harmoniseMatchLink(getHyperlink(H70))</f>
        <v>http://www.dailygammon.com/bg/game/4999155/0/list#end</v>
      </c>
    </row>
    <row r="71" spans="1:14" ht="29" hidden="1" x14ac:dyDescent="0.35">
      <c r="A71" s="51" t="s">
        <v>95</v>
      </c>
      <c r="B71" s="52" t="s">
        <v>113</v>
      </c>
      <c r="C71" s="53">
        <v>0.86458333333333337</v>
      </c>
      <c r="D71" s="54">
        <v>10.833333333333334</v>
      </c>
      <c r="E71" s="55" t="s">
        <v>1</v>
      </c>
      <c r="F71" s="55">
        <v>11</v>
      </c>
      <c r="G71" s="56" t="s">
        <v>114</v>
      </c>
      <c r="H71" s="57" t="s">
        <v>76</v>
      </c>
      <c r="I71" s="56" t="s">
        <v>59</v>
      </c>
      <c r="J71" t="str">
        <f t="shared" si="8"/>
        <v>Sandr vs. skonaman</v>
      </c>
      <c r="K71" t="str">
        <f t="shared" si="9"/>
        <v>Sandr</v>
      </c>
      <c r="L71" t="str">
        <f t="shared" si="10"/>
        <v>skonaman</v>
      </c>
      <c r="M71" t="b">
        <f t="shared" si="11"/>
        <v>1</v>
      </c>
      <c r="N71" t="str">
        <f>harmoniseMatchLink(getHyperlink(H71))</f>
        <v>http://www.dailygammon.com/bg/game/4999121/0/list#end</v>
      </c>
    </row>
    <row r="72" spans="1:14" ht="29" hidden="1" x14ac:dyDescent="0.35">
      <c r="A72" s="51" t="s">
        <v>93</v>
      </c>
      <c r="B72" s="52" t="s">
        <v>113</v>
      </c>
      <c r="C72" s="53">
        <v>0.9506944444444444</v>
      </c>
      <c r="D72" s="54">
        <v>10.666666666666666</v>
      </c>
      <c r="E72" s="55" t="s">
        <v>1</v>
      </c>
      <c r="F72" s="55">
        <v>11</v>
      </c>
      <c r="G72" s="56" t="s">
        <v>60</v>
      </c>
      <c r="H72" s="57" t="s">
        <v>76</v>
      </c>
      <c r="I72" s="56" t="s">
        <v>59</v>
      </c>
      <c r="J72" t="str">
        <f t="shared" si="8"/>
        <v>Sandr vs. Zenswang</v>
      </c>
      <c r="K72" t="str">
        <f t="shared" si="9"/>
        <v>Sandr</v>
      </c>
      <c r="L72" t="str">
        <f t="shared" si="10"/>
        <v>Zenswang</v>
      </c>
      <c r="M72" t="b">
        <f t="shared" si="11"/>
        <v>1</v>
      </c>
      <c r="N72" t="str">
        <f>harmoniseMatchLink(getHyperlink(H72))</f>
        <v>http://www.dailygammon.com/bg/game/4999209/0/list#end</v>
      </c>
    </row>
    <row r="73" spans="1:14" ht="29" hidden="1" x14ac:dyDescent="0.35">
      <c r="A73" s="51" t="s">
        <v>125</v>
      </c>
      <c r="B73" s="52" t="s">
        <v>113</v>
      </c>
      <c r="C73" s="55" t="s">
        <v>83</v>
      </c>
      <c r="D73" s="54">
        <v>10.666666666666666</v>
      </c>
      <c r="E73" s="55" t="s">
        <v>1</v>
      </c>
      <c r="F73" s="55">
        <v>11</v>
      </c>
      <c r="G73" s="56" t="s">
        <v>53</v>
      </c>
      <c r="H73" s="57" t="s">
        <v>76</v>
      </c>
      <c r="I73" s="56" t="s">
        <v>114</v>
      </c>
      <c r="J73" t="str">
        <f t="shared" si="8"/>
        <v>skonaman vs. Animalj</v>
      </c>
      <c r="K73" t="str">
        <f t="shared" si="9"/>
        <v>skonaman</v>
      </c>
      <c r="L73" t="str">
        <f t="shared" si="10"/>
        <v>Animalj</v>
      </c>
      <c r="M73" t="b">
        <f t="shared" si="11"/>
        <v>1</v>
      </c>
      <c r="N73" t="str">
        <f>harmoniseMatchLink(getHyperlink(H73))</f>
        <v>http://www.dailygammon.com/bg/game/4999240/0/list#end</v>
      </c>
    </row>
    <row r="74" spans="1:14" ht="29" hidden="1" x14ac:dyDescent="0.35">
      <c r="A74" s="51" t="s">
        <v>119</v>
      </c>
      <c r="B74" s="52" t="s">
        <v>113</v>
      </c>
      <c r="C74" s="55" t="s">
        <v>83</v>
      </c>
      <c r="D74" s="54">
        <v>10.5</v>
      </c>
      <c r="E74" s="55" t="s">
        <v>1</v>
      </c>
      <c r="F74" s="55">
        <v>11</v>
      </c>
      <c r="G74" s="56" t="s">
        <v>54</v>
      </c>
      <c r="H74" s="57" t="s">
        <v>76</v>
      </c>
      <c r="I74" s="56" t="s">
        <v>114</v>
      </c>
      <c r="J74" t="str">
        <f t="shared" si="8"/>
        <v>skonaman vs. API</v>
      </c>
      <c r="K74" t="str">
        <f t="shared" si="9"/>
        <v>skonaman</v>
      </c>
      <c r="L74" t="str">
        <f t="shared" si="10"/>
        <v>API</v>
      </c>
      <c r="M74" t="b">
        <f t="shared" si="11"/>
        <v>1</v>
      </c>
      <c r="N74" t="str">
        <f>harmoniseMatchLink(getHyperlink(H74))</f>
        <v>http://www.dailygammon.com/bg/game/4999172/0/list#end</v>
      </c>
    </row>
    <row r="75" spans="1:14" ht="29" hidden="1" x14ac:dyDescent="0.35">
      <c r="A75" s="51" t="s">
        <v>130</v>
      </c>
      <c r="B75" s="52" t="s">
        <v>113</v>
      </c>
      <c r="C75" s="55" t="s">
        <v>83</v>
      </c>
      <c r="D75" s="54">
        <v>10.625</v>
      </c>
      <c r="E75" s="55" t="s">
        <v>1</v>
      </c>
      <c r="F75" s="55">
        <v>11</v>
      </c>
      <c r="G75" s="56" t="s">
        <v>55</v>
      </c>
      <c r="H75" s="57" t="s">
        <v>76</v>
      </c>
      <c r="I75" s="56" t="s">
        <v>114</v>
      </c>
      <c r="J75" t="str">
        <f t="shared" si="8"/>
        <v>skonaman vs. Cafeplayer</v>
      </c>
      <c r="K75" t="str">
        <f t="shared" si="9"/>
        <v>skonaman</v>
      </c>
      <c r="L75" t="str">
        <f t="shared" si="10"/>
        <v>Cafeplayer</v>
      </c>
      <c r="M75" t="b">
        <f t="shared" si="11"/>
        <v>1</v>
      </c>
      <c r="N75" t="str">
        <f>harmoniseMatchLink(getHyperlink(H75))</f>
        <v>http://www.dailygammon.com/bg/game/4999612/0/list#end</v>
      </c>
    </row>
    <row r="76" spans="1:14" ht="29" hidden="1" x14ac:dyDescent="0.35">
      <c r="A76" s="51" t="s">
        <v>120</v>
      </c>
      <c r="B76" s="52" t="s">
        <v>113</v>
      </c>
      <c r="C76" s="53">
        <v>0.95972222222222225</v>
      </c>
      <c r="D76" s="54">
        <v>10.75</v>
      </c>
      <c r="E76" s="55" t="s">
        <v>1</v>
      </c>
      <c r="F76" s="55">
        <v>11</v>
      </c>
      <c r="G76" s="56" t="s">
        <v>56</v>
      </c>
      <c r="H76" s="57" t="s">
        <v>76</v>
      </c>
      <c r="I76" s="56" t="s">
        <v>114</v>
      </c>
      <c r="J76" t="str">
        <f t="shared" si="8"/>
        <v>skonaman vs. dzsobacsi</v>
      </c>
      <c r="K76" t="str">
        <f t="shared" si="9"/>
        <v>skonaman</v>
      </c>
      <c r="L76" t="str">
        <f t="shared" si="10"/>
        <v>dzsobacsi</v>
      </c>
      <c r="M76" t="b">
        <f t="shared" si="11"/>
        <v>1</v>
      </c>
      <c r="N76" t="str">
        <f>harmoniseMatchLink(getHyperlink(H76))</f>
        <v>http://www.dailygammon.com/bg/game/4999174/0/list#end</v>
      </c>
    </row>
    <row r="77" spans="1:14" ht="29" hidden="1" x14ac:dyDescent="0.35">
      <c r="A77" s="51" t="s">
        <v>124</v>
      </c>
      <c r="B77" s="52" t="s">
        <v>113</v>
      </c>
      <c r="C77" s="55" t="s">
        <v>83</v>
      </c>
      <c r="D77" s="54">
        <v>11.125</v>
      </c>
      <c r="E77" s="55" t="s">
        <v>1</v>
      </c>
      <c r="F77" s="55">
        <v>11</v>
      </c>
      <c r="G77" s="56" t="s">
        <v>57</v>
      </c>
      <c r="H77" s="57" t="s">
        <v>76</v>
      </c>
      <c r="I77" s="56" t="s">
        <v>114</v>
      </c>
      <c r="J77" t="str">
        <f t="shared" si="8"/>
        <v>skonaman vs. hcc1670</v>
      </c>
      <c r="K77" t="str">
        <f t="shared" si="9"/>
        <v>skonaman</v>
      </c>
      <c r="L77" t="str">
        <f t="shared" si="10"/>
        <v>hcc1670</v>
      </c>
      <c r="M77" t="b">
        <f t="shared" si="11"/>
        <v>1</v>
      </c>
      <c r="N77" t="str">
        <f>harmoniseMatchLink(getHyperlink(H77))</f>
        <v>http://www.dailygammon.com/bg/game/4999235/0/list#end</v>
      </c>
    </row>
    <row r="78" spans="1:14" ht="29" hidden="1" x14ac:dyDescent="0.35">
      <c r="A78" s="51" t="s">
        <v>128</v>
      </c>
      <c r="B78" s="52" t="s">
        <v>113</v>
      </c>
      <c r="C78" s="55" t="s">
        <v>83</v>
      </c>
      <c r="D78" s="54">
        <v>10.583333333333334</v>
      </c>
      <c r="E78" s="55" t="s">
        <v>1</v>
      </c>
      <c r="F78" s="55">
        <v>11</v>
      </c>
      <c r="G78" s="56" t="s">
        <v>58</v>
      </c>
      <c r="H78" s="57" t="s">
        <v>76</v>
      </c>
      <c r="I78" s="56" t="s">
        <v>114</v>
      </c>
      <c r="J78" t="str">
        <f t="shared" si="8"/>
        <v>skonaman vs. Mattias Roos</v>
      </c>
      <c r="K78" t="str">
        <f t="shared" si="9"/>
        <v>skonaman</v>
      </c>
      <c r="L78" t="str">
        <f t="shared" si="10"/>
        <v>Mattias Roos</v>
      </c>
      <c r="M78" t="b">
        <f t="shared" si="11"/>
        <v>1</v>
      </c>
      <c r="N78" t="str">
        <f>harmoniseMatchLink(getHyperlink(H78))</f>
        <v>http://www.dailygammon.com/bg/game/4999445/0/list#end</v>
      </c>
    </row>
    <row r="79" spans="1:14" ht="29" x14ac:dyDescent="0.35">
      <c r="A79" s="51" t="s">
        <v>122</v>
      </c>
      <c r="B79" s="52" t="s">
        <v>113</v>
      </c>
      <c r="C79" s="55" t="s">
        <v>83</v>
      </c>
      <c r="D79" s="54">
        <v>10.75</v>
      </c>
      <c r="E79" s="55" t="s">
        <v>1</v>
      </c>
      <c r="F79" s="55">
        <v>11</v>
      </c>
      <c r="G79" s="56" t="s">
        <v>115</v>
      </c>
      <c r="H79" s="57" t="s">
        <v>76</v>
      </c>
      <c r="I79" s="56" t="s">
        <v>114</v>
      </c>
      <c r="J79" t="str">
        <f t="shared" si="8"/>
        <v>skonaman vs. phinneas</v>
      </c>
      <c r="K79" t="str">
        <f t="shared" si="9"/>
        <v>skonaman</v>
      </c>
      <c r="L79" t="str">
        <f t="shared" si="10"/>
        <v>phinneas</v>
      </c>
      <c r="M79" t="b">
        <f t="shared" si="11"/>
        <v>1</v>
      </c>
      <c r="N79" t="str">
        <f>harmoniseMatchLink(getHyperlink(H79))</f>
        <v>http://www.dailygammon.com/bg/game/4999183/0/list#end</v>
      </c>
    </row>
    <row r="80" spans="1:14" ht="29" hidden="1" x14ac:dyDescent="0.35">
      <c r="A80" s="51" t="s">
        <v>121</v>
      </c>
      <c r="B80" s="52" t="s">
        <v>113</v>
      </c>
      <c r="C80" s="55" t="s">
        <v>83</v>
      </c>
      <c r="D80" s="54">
        <v>10.833333333333334</v>
      </c>
      <c r="E80" s="55" t="s">
        <v>1</v>
      </c>
      <c r="F80" s="55">
        <v>11</v>
      </c>
      <c r="G80" s="56" t="s">
        <v>59</v>
      </c>
      <c r="H80" s="57" t="s">
        <v>76</v>
      </c>
      <c r="I80" s="56" t="s">
        <v>114</v>
      </c>
      <c r="J80" t="str">
        <f t="shared" si="8"/>
        <v>skonaman vs. Sandr</v>
      </c>
      <c r="K80" t="str">
        <f t="shared" si="9"/>
        <v>skonaman</v>
      </c>
      <c r="L80" t="str">
        <f t="shared" si="10"/>
        <v>Sandr</v>
      </c>
      <c r="M80" t="b">
        <f t="shared" si="11"/>
        <v>1</v>
      </c>
      <c r="N80" t="str">
        <f>harmoniseMatchLink(getHyperlink(H80))</f>
        <v>http://www.dailygammon.com/bg/game/4999177/0/list#end</v>
      </c>
    </row>
    <row r="81" spans="1:14" ht="29" hidden="1" x14ac:dyDescent="0.35">
      <c r="A81" s="51" t="s">
        <v>123</v>
      </c>
      <c r="B81" s="52" t="s">
        <v>113</v>
      </c>
      <c r="C81" s="55" t="s">
        <v>83</v>
      </c>
      <c r="D81" s="54">
        <v>10.75</v>
      </c>
      <c r="E81" s="55" t="s">
        <v>1</v>
      </c>
      <c r="F81" s="55">
        <v>11</v>
      </c>
      <c r="G81" s="56" t="s">
        <v>60</v>
      </c>
      <c r="H81" s="57" t="s">
        <v>76</v>
      </c>
      <c r="I81" s="56" t="s">
        <v>114</v>
      </c>
      <c r="J81" t="str">
        <f t="shared" si="8"/>
        <v>skonaman vs. Zenswang</v>
      </c>
      <c r="K81" t="str">
        <f t="shared" si="9"/>
        <v>skonaman</v>
      </c>
      <c r="L81" t="str">
        <f t="shared" si="10"/>
        <v>Zenswang</v>
      </c>
      <c r="M81" t="b">
        <f t="shared" si="11"/>
        <v>1</v>
      </c>
      <c r="N81" t="str">
        <f>harmoniseMatchLink(getHyperlink(H81))</f>
        <v>http://www.dailygammon.com/bg/game/4999211/0/list#end</v>
      </c>
    </row>
    <row r="82" spans="1:14" ht="29" hidden="1" x14ac:dyDescent="0.35">
      <c r="A82" s="51" t="s">
        <v>77</v>
      </c>
      <c r="B82" s="52" t="s">
        <v>113</v>
      </c>
      <c r="C82" s="55" t="s">
        <v>83</v>
      </c>
      <c r="D82" s="54">
        <v>10.583333333333334</v>
      </c>
      <c r="E82" s="55" t="s">
        <v>1</v>
      </c>
      <c r="F82" s="55">
        <v>11</v>
      </c>
      <c r="G82" s="56" t="s">
        <v>53</v>
      </c>
      <c r="H82" s="57" t="s">
        <v>76</v>
      </c>
      <c r="I82" s="56" t="s">
        <v>60</v>
      </c>
      <c r="J82" t="str">
        <f t="shared" si="8"/>
        <v>Zenswang vs. Animalj</v>
      </c>
      <c r="K82" t="str">
        <f t="shared" si="9"/>
        <v>Zenswang</v>
      </c>
      <c r="L82" t="str">
        <f t="shared" si="10"/>
        <v>Animalj</v>
      </c>
      <c r="M82" t="b">
        <f t="shared" si="11"/>
        <v>1</v>
      </c>
      <c r="N82" t="str">
        <f>harmoniseMatchLink(getHyperlink(H82))</f>
        <v>http://www.dailygammon.com/bg/game/4998604/0/list#end</v>
      </c>
    </row>
    <row r="83" spans="1:14" ht="29" hidden="1" x14ac:dyDescent="0.35">
      <c r="A83" s="51" t="s">
        <v>99</v>
      </c>
      <c r="B83" s="52" t="s">
        <v>113</v>
      </c>
      <c r="C83" s="53">
        <v>0.89583333333333337</v>
      </c>
      <c r="D83" s="54">
        <v>10.541666666666666</v>
      </c>
      <c r="E83" s="55" t="s">
        <v>1</v>
      </c>
      <c r="F83" s="55">
        <v>11</v>
      </c>
      <c r="G83" s="56" t="s">
        <v>54</v>
      </c>
      <c r="H83" s="57" t="s">
        <v>76</v>
      </c>
      <c r="I83" s="56" t="s">
        <v>60</v>
      </c>
      <c r="J83" t="str">
        <f t="shared" si="8"/>
        <v>Zenswang vs. API</v>
      </c>
      <c r="K83" t="str">
        <f t="shared" si="9"/>
        <v>Zenswang</v>
      </c>
      <c r="L83" t="str">
        <f t="shared" si="10"/>
        <v>API</v>
      </c>
      <c r="M83" t="b">
        <f t="shared" si="11"/>
        <v>1</v>
      </c>
      <c r="N83" t="str">
        <f>harmoniseMatchLink(getHyperlink(H83))</f>
        <v>http://www.dailygammon.com/bg/game/4998858/0/list#end</v>
      </c>
    </row>
    <row r="84" spans="1:14" ht="29" hidden="1" x14ac:dyDescent="0.35">
      <c r="A84" s="51" t="s">
        <v>78</v>
      </c>
      <c r="B84" s="52" t="s">
        <v>113</v>
      </c>
      <c r="C84" s="53">
        <v>0.59444444444444444</v>
      </c>
      <c r="D84" s="54">
        <v>10.708333333333334</v>
      </c>
      <c r="E84" s="55" t="s">
        <v>1</v>
      </c>
      <c r="F84" s="55">
        <v>11</v>
      </c>
      <c r="G84" s="56" t="s">
        <v>55</v>
      </c>
      <c r="H84" s="57" t="s">
        <v>76</v>
      </c>
      <c r="I84" s="56" t="s">
        <v>60</v>
      </c>
      <c r="J84" t="str">
        <f t="shared" si="8"/>
        <v>Zenswang vs. Cafeplayer</v>
      </c>
      <c r="K84" t="str">
        <f t="shared" si="9"/>
        <v>Zenswang</v>
      </c>
      <c r="L84" t="str">
        <f t="shared" si="10"/>
        <v>Cafeplayer</v>
      </c>
      <c r="M84" t="b">
        <f t="shared" si="11"/>
        <v>1</v>
      </c>
      <c r="N84" t="str">
        <f>harmoniseMatchLink(getHyperlink(H84))</f>
        <v>http://www.dailygammon.com/bg/game/4998618/0/list#end</v>
      </c>
    </row>
    <row r="85" spans="1:14" ht="29" hidden="1" x14ac:dyDescent="0.35">
      <c r="A85" s="51" t="s">
        <v>80</v>
      </c>
      <c r="B85" s="52" t="s">
        <v>113</v>
      </c>
      <c r="C85" s="53">
        <v>0.89444444444444438</v>
      </c>
      <c r="D85" s="54">
        <v>10.625</v>
      </c>
      <c r="E85" s="55" t="s">
        <v>1</v>
      </c>
      <c r="F85" s="55">
        <v>11</v>
      </c>
      <c r="G85" s="56" t="s">
        <v>56</v>
      </c>
      <c r="H85" s="57" t="s">
        <v>76</v>
      </c>
      <c r="I85" s="56" t="s">
        <v>60</v>
      </c>
      <c r="J85" t="str">
        <f t="shared" si="8"/>
        <v>Zenswang vs. dzsobacsi</v>
      </c>
      <c r="K85" t="str">
        <f t="shared" si="9"/>
        <v>Zenswang</v>
      </c>
      <c r="L85" t="str">
        <f t="shared" si="10"/>
        <v>dzsobacsi</v>
      </c>
      <c r="M85" t="b">
        <f t="shared" si="11"/>
        <v>1</v>
      </c>
      <c r="N85" t="str">
        <f>harmoniseMatchLink(getHyperlink(H85))</f>
        <v>http://www.dailygammon.com/bg/game/4998694/0/list#end</v>
      </c>
    </row>
    <row r="86" spans="1:14" ht="29" hidden="1" x14ac:dyDescent="0.35">
      <c r="A86" s="51" t="s">
        <v>98</v>
      </c>
      <c r="B86" s="52" t="s">
        <v>113</v>
      </c>
      <c r="C86" s="53">
        <v>0.56527777777777777</v>
      </c>
      <c r="D86" s="54">
        <v>10.791666666666666</v>
      </c>
      <c r="E86" s="55" t="s">
        <v>1</v>
      </c>
      <c r="F86" s="55">
        <v>11</v>
      </c>
      <c r="G86" s="56" t="s">
        <v>57</v>
      </c>
      <c r="H86" s="57" t="s">
        <v>76</v>
      </c>
      <c r="I86" s="56" t="s">
        <v>60</v>
      </c>
      <c r="J86" t="str">
        <f t="shared" si="8"/>
        <v>Zenswang vs. hcc1670</v>
      </c>
      <c r="K86" t="str">
        <f t="shared" si="9"/>
        <v>Zenswang</v>
      </c>
      <c r="L86" t="str">
        <f t="shared" si="10"/>
        <v>hcc1670</v>
      </c>
      <c r="M86" t="b">
        <f t="shared" si="11"/>
        <v>1</v>
      </c>
      <c r="N86" t="str">
        <f>harmoniseMatchLink(getHyperlink(H86))</f>
        <v>http://www.dailygammon.com/bg/game/4998970/0/list#end</v>
      </c>
    </row>
    <row r="87" spans="1:14" ht="29" hidden="1" x14ac:dyDescent="0.35">
      <c r="A87" s="51" t="s">
        <v>91</v>
      </c>
      <c r="B87" s="52" t="s">
        <v>113</v>
      </c>
      <c r="C87" s="55" t="s">
        <v>83</v>
      </c>
      <c r="D87" s="54">
        <v>10.75</v>
      </c>
      <c r="E87" s="55" t="s">
        <v>1</v>
      </c>
      <c r="F87" s="55">
        <v>11</v>
      </c>
      <c r="G87" s="56" t="s">
        <v>58</v>
      </c>
      <c r="H87" s="57" t="s">
        <v>76</v>
      </c>
      <c r="I87" s="56" t="s">
        <v>60</v>
      </c>
      <c r="J87" t="str">
        <f t="shared" si="8"/>
        <v>Zenswang vs. Mattias Roos</v>
      </c>
      <c r="K87" t="str">
        <f t="shared" si="9"/>
        <v>Zenswang</v>
      </c>
      <c r="L87" t="str">
        <f t="shared" si="10"/>
        <v>Mattias Roos</v>
      </c>
      <c r="M87" t="b">
        <f t="shared" si="11"/>
        <v>1</v>
      </c>
      <c r="N87" t="str">
        <f>harmoniseMatchLink(getHyperlink(H87))</f>
        <v>http://www.dailygammon.com/bg/game/4999436/0/list#end</v>
      </c>
    </row>
    <row r="88" spans="1:14" ht="29" x14ac:dyDescent="0.35">
      <c r="A88" s="51" t="s">
        <v>82</v>
      </c>
      <c r="B88" s="52" t="s">
        <v>113</v>
      </c>
      <c r="C88" s="53">
        <v>0.95624999999999993</v>
      </c>
      <c r="D88" s="54">
        <v>10.708333333333334</v>
      </c>
      <c r="E88" s="55" t="s">
        <v>1</v>
      </c>
      <c r="F88" s="55">
        <v>11</v>
      </c>
      <c r="G88" s="56" t="s">
        <v>115</v>
      </c>
      <c r="H88" s="57" t="s">
        <v>76</v>
      </c>
      <c r="I88" s="56" t="s">
        <v>60</v>
      </c>
      <c r="J88" t="str">
        <f t="shared" si="8"/>
        <v>Zenswang vs. phinneas</v>
      </c>
      <c r="K88" t="str">
        <f t="shared" si="9"/>
        <v>Zenswang</v>
      </c>
      <c r="L88" t="str">
        <f t="shared" si="10"/>
        <v>phinneas</v>
      </c>
      <c r="M88" t="b">
        <f t="shared" si="11"/>
        <v>1</v>
      </c>
      <c r="N88" t="str">
        <f>harmoniseMatchLink(getHyperlink(H88))</f>
        <v>http://www.dailygammon.com/bg/game/4998609/0/list#end</v>
      </c>
    </row>
    <row r="89" spans="1:14" ht="29" hidden="1" x14ac:dyDescent="0.35">
      <c r="A89" s="51" t="s">
        <v>81</v>
      </c>
      <c r="B89" s="52" t="s">
        <v>113</v>
      </c>
      <c r="C89" s="55" t="s">
        <v>83</v>
      </c>
      <c r="D89" s="54">
        <v>10.708333333333334</v>
      </c>
      <c r="E89" s="55" t="s">
        <v>1</v>
      </c>
      <c r="F89" s="55">
        <v>11</v>
      </c>
      <c r="G89" s="56" t="s">
        <v>59</v>
      </c>
      <c r="H89" s="57" t="s">
        <v>76</v>
      </c>
      <c r="I89" s="56" t="s">
        <v>60</v>
      </c>
      <c r="J89" t="str">
        <f t="shared" si="8"/>
        <v>Zenswang vs. Sandr</v>
      </c>
      <c r="K89" t="str">
        <f t="shared" si="9"/>
        <v>Zenswang</v>
      </c>
      <c r="L89" t="str">
        <f t="shared" si="10"/>
        <v>Sandr</v>
      </c>
      <c r="M89" t="b">
        <f t="shared" si="11"/>
        <v>1</v>
      </c>
      <c r="N89" t="str">
        <f>harmoniseMatchLink(getHyperlink(H89))</f>
        <v>http://www.dailygammon.com/bg/game/4998765/0/list#end</v>
      </c>
    </row>
    <row r="90" spans="1:14" ht="29" hidden="1" x14ac:dyDescent="0.35">
      <c r="A90" s="51" t="s">
        <v>103</v>
      </c>
      <c r="B90" s="52" t="s">
        <v>113</v>
      </c>
      <c r="C90" s="53">
        <v>0.97291666666666676</v>
      </c>
      <c r="D90" s="54">
        <v>10.708333333333334</v>
      </c>
      <c r="E90" s="55" t="s">
        <v>1</v>
      </c>
      <c r="F90" s="55">
        <v>11</v>
      </c>
      <c r="G90" s="56" t="s">
        <v>114</v>
      </c>
      <c r="H90" s="57" t="s">
        <v>76</v>
      </c>
      <c r="I90" s="56" t="s">
        <v>60</v>
      </c>
      <c r="J90" t="str">
        <f t="shared" si="8"/>
        <v>Zenswang vs. skonaman</v>
      </c>
      <c r="K90" t="str">
        <f t="shared" si="9"/>
        <v>Zenswang</v>
      </c>
      <c r="L90" t="str">
        <f t="shared" si="10"/>
        <v>skonaman</v>
      </c>
      <c r="M90" t="b">
        <f t="shared" si="11"/>
        <v>1</v>
      </c>
      <c r="N90" t="str">
        <f>harmoniseMatchLink(getHyperlink(H90))</f>
        <v>http://www.dailygammon.com/bg/game/4999119/0/list#end</v>
      </c>
    </row>
    <row r="91" spans="1:14" ht="29" hidden="1" x14ac:dyDescent="0.35">
      <c r="A91" s="51" t="s">
        <v>103</v>
      </c>
      <c r="B91" s="52" t="s">
        <v>113</v>
      </c>
      <c r="C91" s="55" t="s">
        <v>83</v>
      </c>
      <c r="D91" s="54">
        <v>10.541666666666666</v>
      </c>
      <c r="E91" s="55" t="s">
        <v>1</v>
      </c>
      <c r="F91" s="55">
        <v>11</v>
      </c>
      <c r="G91" s="56" t="s">
        <v>53</v>
      </c>
      <c r="H91" s="57" t="s">
        <v>76</v>
      </c>
      <c r="I91" s="56" t="s">
        <v>54</v>
      </c>
      <c r="J91" t="str">
        <f t="shared" si="8"/>
        <v>Animalj vs. API</v>
      </c>
      <c r="K91" t="str">
        <f t="shared" si="9"/>
        <v>Animalj</v>
      </c>
      <c r="L91" t="str">
        <f t="shared" si="10"/>
        <v>API</v>
      </c>
      <c r="M91" t="b">
        <f t="shared" si="11"/>
        <v>0</v>
      </c>
      <c r="N91" t="str">
        <f>harmoniseMatchLink(getHyperlink(H91))</f>
        <v>http://www.dailygammon.com/bg/game/4999255/0/list#end</v>
      </c>
    </row>
    <row r="92" spans="1:14" ht="29" hidden="1" x14ac:dyDescent="0.35">
      <c r="A92" s="51" t="s">
        <v>105</v>
      </c>
      <c r="B92" s="52" t="s">
        <v>113</v>
      </c>
      <c r="C92" s="55" t="s">
        <v>83</v>
      </c>
      <c r="D92" s="54">
        <v>10.583333333333334</v>
      </c>
      <c r="E92" s="55" t="s">
        <v>1</v>
      </c>
      <c r="F92" s="55">
        <v>11</v>
      </c>
      <c r="G92" s="56" t="s">
        <v>53</v>
      </c>
      <c r="H92" s="57" t="s">
        <v>76</v>
      </c>
      <c r="I92" s="56" t="s">
        <v>55</v>
      </c>
      <c r="J92" t="str">
        <f t="shared" si="8"/>
        <v>Animalj vs. Cafeplayer</v>
      </c>
      <c r="K92" t="str">
        <f t="shared" si="9"/>
        <v>Animalj</v>
      </c>
      <c r="L92" t="str">
        <f t="shared" si="10"/>
        <v>Cafeplayer</v>
      </c>
      <c r="M92" t="b">
        <f t="shared" si="11"/>
        <v>0</v>
      </c>
      <c r="N92" t="str">
        <f>harmoniseMatchLink(getHyperlink(H92))</f>
        <v>http://www.dailygammon.com/bg/game/4999613/0/list#end</v>
      </c>
    </row>
    <row r="93" spans="1:14" ht="29" hidden="1" x14ac:dyDescent="0.35">
      <c r="A93" s="51" t="s">
        <v>111</v>
      </c>
      <c r="B93" s="52" t="s">
        <v>113</v>
      </c>
      <c r="C93" s="55" t="s">
        <v>83</v>
      </c>
      <c r="D93" s="54">
        <v>10.541666666666666</v>
      </c>
      <c r="E93" s="55" t="s">
        <v>1</v>
      </c>
      <c r="F93" s="55">
        <v>11</v>
      </c>
      <c r="G93" s="56" t="s">
        <v>53</v>
      </c>
      <c r="H93" s="57" t="s">
        <v>76</v>
      </c>
      <c r="I93" s="56" t="s">
        <v>56</v>
      </c>
      <c r="J93" t="str">
        <f t="shared" si="8"/>
        <v>Animalj vs. dzsobacsi</v>
      </c>
      <c r="K93" t="str">
        <f t="shared" si="9"/>
        <v>Animalj</v>
      </c>
      <c r="L93" t="str">
        <f t="shared" si="10"/>
        <v>dzsobacsi</v>
      </c>
      <c r="M93" t="b">
        <f t="shared" si="11"/>
        <v>0</v>
      </c>
      <c r="N93" t="str">
        <f>harmoniseMatchLink(getHyperlink(H93))</f>
        <v>http://www.dailygammon.com/bg/game/4999316/0/list#end</v>
      </c>
    </row>
    <row r="94" spans="1:14" ht="29" hidden="1" x14ac:dyDescent="0.35">
      <c r="A94" s="51" t="s">
        <v>79</v>
      </c>
      <c r="B94" s="52" t="s">
        <v>113</v>
      </c>
      <c r="C94" s="55" t="s">
        <v>83</v>
      </c>
      <c r="D94" s="54">
        <v>10.666666666666666</v>
      </c>
      <c r="E94" s="55" t="s">
        <v>1</v>
      </c>
      <c r="F94" s="55">
        <v>11</v>
      </c>
      <c r="G94" s="56" t="s">
        <v>53</v>
      </c>
      <c r="H94" s="57" t="s">
        <v>76</v>
      </c>
      <c r="I94" s="56" t="s">
        <v>57</v>
      </c>
      <c r="J94" t="str">
        <f t="shared" si="8"/>
        <v>Animalj vs. hcc1670</v>
      </c>
      <c r="K94" t="str">
        <f t="shared" si="9"/>
        <v>Animalj</v>
      </c>
      <c r="L94" t="str">
        <f t="shared" si="10"/>
        <v>hcc1670</v>
      </c>
      <c r="M94" t="b">
        <f t="shared" si="11"/>
        <v>0</v>
      </c>
      <c r="N94" t="str">
        <f>harmoniseMatchLink(getHyperlink(H94))</f>
        <v>http://www.dailygammon.com/bg/game/4999236/0/list#end</v>
      </c>
    </row>
    <row r="95" spans="1:14" ht="29" hidden="1" x14ac:dyDescent="0.35">
      <c r="A95" s="51" t="s">
        <v>82</v>
      </c>
      <c r="B95" s="52" t="s">
        <v>113</v>
      </c>
      <c r="C95" s="55" t="s">
        <v>83</v>
      </c>
      <c r="D95" s="54">
        <v>10.583333333333334</v>
      </c>
      <c r="E95" s="55" t="s">
        <v>1</v>
      </c>
      <c r="F95" s="55">
        <v>11</v>
      </c>
      <c r="G95" s="56" t="s">
        <v>53</v>
      </c>
      <c r="H95" s="57" t="s">
        <v>76</v>
      </c>
      <c r="I95" s="56" t="s">
        <v>58</v>
      </c>
      <c r="J95" t="str">
        <f t="shared" si="8"/>
        <v>Animalj vs. Mattias Roos</v>
      </c>
      <c r="K95" t="str">
        <f t="shared" si="9"/>
        <v>Animalj</v>
      </c>
      <c r="L95" t="str">
        <f t="shared" si="10"/>
        <v>Mattias Roos</v>
      </c>
      <c r="M95" t="b">
        <f t="shared" si="11"/>
        <v>0</v>
      </c>
      <c r="N95" t="str">
        <f>harmoniseMatchLink(getHyperlink(H95))</f>
        <v>http://www.dailygammon.com/bg/game/4999448/0/list#end</v>
      </c>
    </row>
    <row r="96" spans="1:14" ht="29" x14ac:dyDescent="0.35">
      <c r="A96" s="51" t="s">
        <v>94</v>
      </c>
      <c r="B96" s="52" t="s">
        <v>113</v>
      </c>
      <c r="C96" s="55" t="s">
        <v>83</v>
      </c>
      <c r="D96" s="54">
        <v>10.583333333333334</v>
      </c>
      <c r="E96" s="55" t="s">
        <v>1</v>
      </c>
      <c r="F96" s="55">
        <v>11</v>
      </c>
      <c r="G96" s="56" t="s">
        <v>53</v>
      </c>
      <c r="H96" s="57" t="s">
        <v>76</v>
      </c>
      <c r="I96" s="56" t="s">
        <v>115</v>
      </c>
      <c r="J96" t="str">
        <f t="shared" si="8"/>
        <v>Animalj vs. phinneas</v>
      </c>
      <c r="K96" t="str">
        <f t="shared" si="9"/>
        <v>Animalj</v>
      </c>
      <c r="L96" t="str">
        <f t="shared" si="10"/>
        <v>phinneas</v>
      </c>
      <c r="M96" t="b">
        <f t="shared" si="11"/>
        <v>0</v>
      </c>
      <c r="N96" t="str">
        <f>harmoniseMatchLink(getHyperlink(H96))</f>
        <v>http://www.dailygammon.com/bg/game/4999244/0/list#end</v>
      </c>
    </row>
    <row r="97" spans="1:14" ht="29" hidden="1" x14ac:dyDescent="0.35">
      <c r="A97" s="51" t="s">
        <v>96</v>
      </c>
      <c r="B97" s="52" t="s">
        <v>113</v>
      </c>
      <c r="C97" s="55" t="s">
        <v>83</v>
      </c>
      <c r="D97" s="54">
        <v>10.583333333333334</v>
      </c>
      <c r="E97" s="55" t="s">
        <v>1</v>
      </c>
      <c r="F97" s="55">
        <v>11</v>
      </c>
      <c r="G97" s="56" t="s">
        <v>53</v>
      </c>
      <c r="H97" s="57" t="s">
        <v>76</v>
      </c>
      <c r="I97" s="56" t="s">
        <v>59</v>
      </c>
      <c r="J97" t="str">
        <f t="shared" si="8"/>
        <v>Animalj vs. Sandr</v>
      </c>
      <c r="K97" t="str">
        <f t="shared" si="9"/>
        <v>Animalj</v>
      </c>
      <c r="L97" t="str">
        <f t="shared" si="10"/>
        <v>Sandr</v>
      </c>
      <c r="M97" t="b">
        <f t="shared" si="11"/>
        <v>0</v>
      </c>
      <c r="N97" t="str">
        <f>harmoniseMatchLink(getHyperlink(H97))</f>
        <v>http://www.dailygammon.com/bg/game/4999303/0/list#end</v>
      </c>
    </row>
    <row r="98" spans="1:14" ht="29" hidden="1" x14ac:dyDescent="0.35">
      <c r="A98" s="51" t="s">
        <v>126</v>
      </c>
      <c r="B98" s="52" t="s">
        <v>113</v>
      </c>
      <c r="C98" s="55" t="s">
        <v>83</v>
      </c>
      <c r="D98" s="54">
        <v>10.666666666666666</v>
      </c>
      <c r="E98" s="55" t="s">
        <v>1</v>
      </c>
      <c r="F98" s="55">
        <v>11</v>
      </c>
      <c r="G98" s="56" t="s">
        <v>53</v>
      </c>
      <c r="H98" s="57" t="s">
        <v>76</v>
      </c>
      <c r="I98" s="56" t="s">
        <v>114</v>
      </c>
      <c r="J98" t="str">
        <f t="shared" ref="J98:J129" si="12">IF(M98,I98 &amp; " vs. " &amp; G98,G98 &amp; " vs. " &amp; I98)</f>
        <v>Animalj vs. skonaman</v>
      </c>
      <c r="K98" t="str">
        <f t="shared" ref="K98:K129" si="13">IF(M98,I98,G98)</f>
        <v>Animalj</v>
      </c>
      <c r="L98" t="str">
        <f t="shared" ref="L98:L129" si="14">IF(M98,G98,I98)</f>
        <v>skonaman</v>
      </c>
      <c r="M98" t="b">
        <f t="shared" ref="M98:M129" si="15">isFirstLeg(H98)</f>
        <v>0</v>
      </c>
      <c r="N98" t="str">
        <f>harmoniseMatchLink(getHyperlink(H98))</f>
        <v>http://www.dailygammon.com/bg/game/4999247/0/list#end</v>
      </c>
    </row>
    <row r="99" spans="1:14" ht="29" hidden="1" x14ac:dyDescent="0.35">
      <c r="A99" s="51" t="s">
        <v>87</v>
      </c>
      <c r="B99" s="52" t="s">
        <v>113</v>
      </c>
      <c r="C99" s="55" t="s">
        <v>83</v>
      </c>
      <c r="D99" s="54">
        <v>10.541666666666666</v>
      </c>
      <c r="E99" s="55" t="s">
        <v>1</v>
      </c>
      <c r="F99" s="55">
        <v>11</v>
      </c>
      <c r="G99" s="56" t="s">
        <v>53</v>
      </c>
      <c r="H99" s="57" t="s">
        <v>76</v>
      </c>
      <c r="I99" s="56" t="s">
        <v>60</v>
      </c>
      <c r="J99" t="str">
        <f t="shared" si="12"/>
        <v>Animalj vs. Zenswang</v>
      </c>
      <c r="K99" t="str">
        <f t="shared" si="13"/>
        <v>Animalj</v>
      </c>
      <c r="L99" t="str">
        <f t="shared" si="14"/>
        <v>Zenswang</v>
      </c>
      <c r="M99" t="b">
        <f t="shared" si="15"/>
        <v>0</v>
      </c>
      <c r="N99" t="str">
        <f>harmoniseMatchLink(getHyperlink(H99))</f>
        <v>http://www.dailygammon.com/bg/game/4999248/0/list#end</v>
      </c>
    </row>
    <row r="100" spans="1:14" ht="29" hidden="1" x14ac:dyDescent="0.35">
      <c r="A100" s="51" t="s">
        <v>101</v>
      </c>
      <c r="B100" s="52" t="s">
        <v>113</v>
      </c>
      <c r="C100" s="53">
        <v>0.91041666666666676</v>
      </c>
      <c r="D100" s="54">
        <v>10.541666666666666</v>
      </c>
      <c r="E100" s="55" t="s">
        <v>1</v>
      </c>
      <c r="F100" s="55">
        <v>11</v>
      </c>
      <c r="G100" s="56" t="s">
        <v>54</v>
      </c>
      <c r="H100" s="57" t="s">
        <v>76</v>
      </c>
      <c r="I100" s="31" t="s">
        <v>53</v>
      </c>
      <c r="J100" t="str">
        <f t="shared" si="12"/>
        <v>API vs. Animalj</v>
      </c>
      <c r="K100" t="str">
        <f t="shared" si="13"/>
        <v>API</v>
      </c>
      <c r="L100" t="str">
        <f t="shared" si="14"/>
        <v>Animalj</v>
      </c>
      <c r="M100" t="b">
        <f t="shared" si="15"/>
        <v>0</v>
      </c>
      <c r="N100" t="str">
        <f>harmoniseMatchLink(getHyperlink(H100))</f>
        <v>http://www.dailygammon.com/bg/game/4999725/0/list#end</v>
      </c>
    </row>
    <row r="101" spans="1:14" ht="29" hidden="1" x14ac:dyDescent="0.35">
      <c r="A101" s="51" t="s">
        <v>104</v>
      </c>
      <c r="B101" s="52" t="s">
        <v>113</v>
      </c>
      <c r="C101" s="53">
        <v>0.8847222222222223</v>
      </c>
      <c r="D101" s="54">
        <v>10.541666666666666</v>
      </c>
      <c r="E101" s="55" t="s">
        <v>1</v>
      </c>
      <c r="F101" s="55">
        <v>11</v>
      </c>
      <c r="G101" s="56" t="s">
        <v>54</v>
      </c>
      <c r="H101" s="57" t="s">
        <v>76</v>
      </c>
      <c r="I101" s="56" t="s">
        <v>55</v>
      </c>
      <c r="J101" t="str">
        <f t="shared" si="12"/>
        <v>API vs. Cafeplayer</v>
      </c>
      <c r="K101" t="str">
        <f t="shared" si="13"/>
        <v>API</v>
      </c>
      <c r="L101" t="str">
        <f t="shared" si="14"/>
        <v>Cafeplayer</v>
      </c>
      <c r="M101" t="b">
        <f t="shared" si="15"/>
        <v>0</v>
      </c>
      <c r="N101" t="str">
        <f>harmoniseMatchLink(getHyperlink(H101))</f>
        <v>http://www.dailygammon.com/bg/game/4999614/0/list#end</v>
      </c>
    </row>
    <row r="102" spans="1:14" ht="29" hidden="1" x14ac:dyDescent="0.35">
      <c r="A102" s="51" t="s">
        <v>89</v>
      </c>
      <c r="B102" s="52" t="s">
        <v>113</v>
      </c>
      <c r="C102" s="55" t="s">
        <v>83</v>
      </c>
      <c r="D102" s="54">
        <v>10.625</v>
      </c>
      <c r="E102" s="55" t="s">
        <v>1</v>
      </c>
      <c r="F102" s="55">
        <v>11</v>
      </c>
      <c r="G102" s="56" t="s">
        <v>54</v>
      </c>
      <c r="H102" s="57" t="s">
        <v>76</v>
      </c>
      <c r="I102" s="56" t="s">
        <v>56</v>
      </c>
      <c r="J102" t="str">
        <f t="shared" si="12"/>
        <v>API vs. dzsobacsi</v>
      </c>
      <c r="K102" t="str">
        <f t="shared" si="13"/>
        <v>API</v>
      </c>
      <c r="L102" t="str">
        <f t="shared" si="14"/>
        <v>dzsobacsi</v>
      </c>
      <c r="M102" t="b">
        <f t="shared" si="15"/>
        <v>0</v>
      </c>
      <c r="N102" t="str">
        <f>harmoniseMatchLink(getHyperlink(H102))</f>
        <v>http://www.dailygammon.com/bg/game/4999317/0/list#end</v>
      </c>
    </row>
    <row r="103" spans="1:14" ht="29" hidden="1" x14ac:dyDescent="0.35">
      <c r="A103" s="51" t="s">
        <v>81</v>
      </c>
      <c r="B103" s="52" t="s">
        <v>113</v>
      </c>
      <c r="C103" s="55" t="s">
        <v>83</v>
      </c>
      <c r="D103" s="54">
        <v>10.75</v>
      </c>
      <c r="E103" s="55" t="s">
        <v>1</v>
      </c>
      <c r="F103" s="55">
        <v>11</v>
      </c>
      <c r="G103" s="56" t="s">
        <v>54</v>
      </c>
      <c r="H103" s="57" t="s">
        <v>76</v>
      </c>
      <c r="I103" s="56" t="s">
        <v>57</v>
      </c>
      <c r="J103" t="str">
        <f t="shared" si="12"/>
        <v>API vs. hcc1670</v>
      </c>
      <c r="K103" t="str">
        <f t="shared" si="13"/>
        <v>API</v>
      </c>
      <c r="L103" t="str">
        <f t="shared" si="14"/>
        <v>hcc1670</v>
      </c>
      <c r="M103" t="b">
        <f t="shared" si="15"/>
        <v>0</v>
      </c>
      <c r="N103" t="str">
        <f>harmoniseMatchLink(getHyperlink(H103))</f>
        <v>http://www.dailygammon.com/bg/game/4999297/0/list#end</v>
      </c>
    </row>
    <row r="104" spans="1:14" ht="29" hidden="1" x14ac:dyDescent="0.35">
      <c r="A104" s="51" t="s">
        <v>75</v>
      </c>
      <c r="B104" s="52" t="s">
        <v>113</v>
      </c>
      <c r="C104" s="53">
        <v>0.90833333333333333</v>
      </c>
      <c r="D104" s="54">
        <v>10.666666666666666</v>
      </c>
      <c r="E104" s="55" t="s">
        <v>1</v>
      </c>
      <c r="F104" s="55">
        <v>11</v>
      </c>
      <c r="G104" s="56" t="s">
        <v>54</v>
      </c>
      <c r="H104" s="57" t="s">
        <v>76</v>
      </c>
      <c r="I104" s="56" t="s">
        <v>58</v>
      </c>
      <c r="J104" t="str">
        <f t="shared" si="12"/>
        <v>API vs. Mattias Roos</v>
      </c>
      <c r="K104" t="str">
        <f t="shared" si="13"/>
        <v>API</v>
      </c>
      <c r="L104" t="str">
        <f t="shared" si="14"/>
        <v>Mattias Roos</v>
      </c>
      <c r="M104" t="b">
        <f t="shared" si="15"/>
        <v>0</v>
      </c>
      <c r="N104" t="str">
        <f>harmoniseMatchLink(getHyperlink(H104))</f>
        <v>http://www.dailygammon.com/bg/game/4999446/0/list#end</v>
      </c>
    </row>
    <row r="105" spans="1:14" ht="29" x14ac:dyDescent="0.35">
      <c r="A105" s="51" t="s">
        <v>95</v>
      </c>
      <c r="B105" s="52" t="s">
        <v>113</v>
      </c>
      <c r="C105" s="55" t="s">
        <v>83</v>
      </c>
      <c r="D105" s="54">
        <v>10.541666666666666</v>
      </c>
      <c r="E105" s="55" t="s">
        <v>1</v>
      </c>
      <c r="F105" s="55">
        <v>11</v>
      </c>
      <c r="G105" s="56" t="s">
        <v>54</v>
      </c>
      <c r="H105" s="57" t="s">
        <v>76</v>
      </c>
      <c r="I105" s="56" t="s">
        <v>115</v>
      </c>
      <c r="J105" t="str">
        <f t="shared" si="12"/>
        <v>API vs. phinneas</v>
      </c>
      <c r="K105" t="str">
        <f t="shared" si="13"/>
        <v>API</v>
      </c>
      <c r="L105" t="str">
        <f t="shared" si="14"/>
        <v>phinneas</v>
      </c>
      <c r="M105" t="b">
        <f t="shared" si="15"/>
        <v>0</v>
      </c>
      <c r="N105" t="str">
        <f>harmoniseMatchLink(getHyperlink(H105))</f>
        <v>http://www.dailygammon.com/bg/game/4999314/0/list#end</v>
      </c>
    </row>
    <row r="106" spans="1:14" ht="29" hidden="1" x14ac:dyDescent="0.35">
      <c r="A106" s="51" t="s">
        <v>104</v>
      </c>
      <c r="B106" s="52" t="s">
        <v>113</v>
      </c>
      <c r="C106" s="53">
        <v>0.8979166666666667</v>
      </c>
      <c r="D106" s="54">
        <v>10.541666666666666</v>
      </c>
      <c r="E106" s="55" t="s">
        <v>1</v>
      </c>
      <c r="F106" s="55">
        <v>11</v>
      </c>
      <c r="G106" s="56" t="s">
        <v>54</v>
      </c>
      <c r="H106" s="57" t="s">
        <v>76</v>
      </c>
      <c r="I106" s="56" t="s">
        <v>59</v>
      </c>
      <c r="J106" t="str">
        <f t="shared" si="12"/>
        <v>API vs. Sandr</v>
      </c>
      <c r="K106" t="str">
        <f t="shared" si="13"/>
        <v>API</v>
      </c>
      <c r="L106" t="str">
        <f t="shared" si="14"/>
        <v>Sandr</v>
      </c>
      <c r="M106" t="b">
        <f t="shared" si="15"/>
        <v>0</v>
      </c>
      <c r="N106" t="str">
        <f>harmoniseMatchLink(getHyperlink(H106))</f>
        <v>http://www.dailygammon.com/bg/game/4999301/0/list#end</v>
      </c>
    </row>
    <row r="107" spans="1:14" ht="29" hidden="1" x14ac:dyDescent="0.35">
      <c r="A107" s="51" t="s">
        <v>127</v>
      </c>
      <c r="B107" s="52" t="s">
        <v>113</v>
      </c>
      <c r="C107" s="55" t="s">
        <v>83</v>
      </c>
      <c r="D107" s="54">
        <v>10.541666666666666</v>
      </c>
      <c r="E107" s="55" t="s">
        <v>1</v>
      </c>
      <c r="F107" s="55">
        <v>11</v>
      </c>
      <c r="G107" s="56" t="s">
        <v>54</v>
      </c>
      <c r="H107" s="57" t="s">
        <v>76</v>
      </c>
      <c r="I107" s="56" t="s">
        <v>114</v>
      </c>
      <c r="J107" t="str">
        <f t="shared" si="12"/>
        <v>API vs. skonaman</v>
      </c>
      <c r="K107" t="str">
        <f t="shared" si="13"/>
        <v>API</v>
      </c>
      <c r="L107" t="str">
        <f t="shared" si="14"/>
        <v>skonaman</v>
      </c>
      <c r="M107" t="b">
        <f t="shared" si="15"/>
        <v>0</v>
      </c>
      <c r="N107" t="str">
        <f>harmoniseMatchLink(getHyperlink(H107))</f>
        <v>http://www.dailygammon.com/bg/game/4999284/0/list#end</v>
      </c>
    </row>
    <row r="108" spans="1:14" ht="29" hidden="1" x14ac:dyDescent="0.35">
      <c r="A108" s="51" t="s">
        <v>86</v>
      </c>
      <c r="B108" s="52" t="s">
        <v>113</v>
      </c>
      <c r="C108" s="53">
        <v>0.89583333333333337</v>
      </c>
      <c r="D108" s="54">
        <v>10.5</v>
      </c>
      <c r="E108" s="55" t="s">
        <v>1</v>
      </c>
      <c r="F108" s="55">
        <v>11</v>
      </c>
      <c r="G108" s="56" t="s">
        <v>54</v>
      </c>
      <c r="H108" s="57" t="s">
        <v>76</v>
      </c>
      <c r="I108" s="56" t="s">
        <v>60</v>
      </c>
      <c r="J108" t="str">
        <f t="shared" si="12"/>
        <v>API vs. Zenswang</v>
      </c>
      <c r="K108" t="str">
        <f t="shared" si="13"/>
        <v>API</v>
      </c>
      <c r="L108" t="str">
        <f t="shared" si="14"/>
        <v>Zenswang</v>
      </c>
      <c r="M108" t="b">
        <f t="shared" si="15"/>
        <v>0</v>
      </c>
      <c r="N108" t="str">
        <f>harmoniseMatchLink(getHyperlink(H108))</f>
        <v>http://www.dailygammon.com/bg/game/4999393/0/list#end</v>
      </c>
    </row>
    <row r="109" spans="1:14" ht="29" hidden="1" x14ac:dyDescent="0.35">
      <c r="A109" s="51" t="s">
        <v>90</v>
      </c>
      <c r="B109" s="52" t="s">
        <v>113</v>
      </c>
      <c r="C109" s="53">
        <v>0.68055555555555547</v>
      </c>
      <c r="D109" s="54">
        <v>10.5</v>
      </c>
      <c r="E109" s="55" t="s">
        <v>1</v>
      </c>
      <c r="F109" s="55">
        <v>11</v>
      </c>
      <c r="G109" s="56" t="s">
        <v>55</v>
      </c>
      <c r="H109" s="57" t="s">
        <v>76</v>
      </c>
      <c r="I109" s="31" t="s">
        <v>53</v>
      </c>
      <c r="J109" t="str">
        <f t="shared" si="12"/>
        <v>Cafeplayer vs. Animalj</v>
      </c>
      <c r="K109" t="str">
        <f t="shared" si="13"/>
        <v>Cafeplayer</v>
      </c>
      <c r="L109" t="str">
        <f t="shared" si="14"/>
        <v>Animalj</v>
      </c>
      <c r="M109" t="b">
        <f t="shared" si="15"/>
        <v>0</v>
      </c>
      <c r="N109" t="str">
        <f>harmoniseMatchLink(getHyperlink(H109))</f>
        <v>http://www.dailygammon.com/bg/game/4999724/0/list#end</v>
      </c>
    </row>
    <row r="110" spans="1:14" ht="29" hidden="1" x14ac:dyDescent="0.35">
      <c r="A110" s="51" t="s">
        <v>101</v>
      </c>
      <c r="B110" s="52" t="s">
        <v>113</v>
      </c>
      <c r="C110" s="55" t="s">
        <v>83</v>
      </c>
      <c r="D110" s="54">
        <v>10.541666666666666</v>
      </c>
      <c r="E110" s="55" t="s">
        <v>1</v>
      </c>
      <c r="F110" s="55">
        <v>11</v>
      </c>
      <c r="G110" s="56" t="s">
        <v>55</v>
      </c>
      <c r="H110" s="57" t="s">
        <v>76</v>
      </c>
      <c r="I110" s="56" t="s">
        <v>54</v>
      </c>
      <c r="J110" t="str">
        <f t="shared" si="12"/>
        <v>Cafeplayer vs. API</v>
      </c>
      <c r="K110" t="str">
        <f t="shared" si="13"/>
        <v>Cafeplayer</v>
      </c>
      <c r="L110" t="str">
        <f t="shared" si="14"/>
        <v>API</v>
      </c>
      <c r="M110" t="b">
        <f t="shared" si="15"/>
        <v>0</v>
      </c>
      <c r="N110" t="str">
        <f>harmoniseMatchLink(getHyperlink(H110))</f>
        <v>http://www.dailygammon.com/bg/game/4999736/0/list#end</v>
      </c>
    </row>
    <row r="111" spans="1:14" ht="29" hidden="1" x14ac:dyDescent="0.35">
      <c r="A111" s="51" t="s">
        <v>90</v>
      </c>
      <c r="B111" s="52" t="s">
        <v>113</v>
      </c>
      <c r="C111" s="55" t="s">
        <v>83</v>
      </c>
      <c r="D111" s="54">
        <v>10.583333333333334</v>
      </c>
      <c r="E111" s="55" t="s">
        <v>1</v>
      </c>
      <c r="F111" s="55">
        <v>11</v>
      </c>
      <c r="G111" s="56" t="s">
        <v>55</v>
      </c>
      <c r="H111" s="57" t="s">
        <v>76</v>
      </c>
      <c r="I111" s="56" t="s">
        <v>56</v>
      </c>
      <c r="J111" t="str">
        <f t="shared" si="12"/>
        <v>Cafeplayer vs. dzsobacsi</v>
      </c>
      <c r="K111" t="str">
        <f t="shared" si="13"/>
        <v>Cafeplayer</v>
      </c>
      <c r="L111" t="str">
        <f t="shared" si="14"/>
        <v>dzsobacsi</v>
      </c>
      <c r="M111" t="b">
        <f t="shared" si="15"/>
        <v>0</v>
      </c>
      <c r="N111" t="str">
        <f>harmoniseMatchLink(getHyperlink(H111))</f>
        <v>http://www.dailygammon.com/bg/game/4999661/0/list#end</v>
      </c>
    </row>
    <row r="112" spans="1:14" ht="29" hidden="1" x14ac:dyDescent="0.35">
      <c r="A112" s="51" t="s">
        <v>100</v>
      </c>
      <c r="B112" s="52" t="s">
        <v>113</v>
      </c>
      <c r="C112" s="55" t="s">
        <v>83</v>
      </c>
      <c r="D112" s="54">
        <v>10.75</v>
      </c>
      <c r="E112" s="55" t="s">
        <v>1</v>
      </c>
      <c r="F112" s="55">
        <v>11</v>
      </c>
      <c r="G112" s="56" t="s">
        <v>55</v>
      </c>
      <c r="H112" s="57" t="s">
        <v>76</v>
      </c>
      <c r="I112" s="56" t="s">
        <v>57</v>
      </c>
      <c r="J112" t="str">
        <f t="shared" si="12"/>
        <v>Cafeplayer vs. hcc1670</v>
      </c>
      <c r="K112" t="str">
        <f t="shared" si="13"/>
        <v>Cafeplayer</v>
      </c>
      <c r="L112" t="str">
        <f t="shared" si="14"/>
        <v>hcc1670</v>
      </c>
      <c r="M112" t="b">
        <f t="shared" si="15"/>
        <v>0</v>
      </c>
      <c r="N112" t="str">
        <f>harmoniseMatchLink(getHyperlink(H112))</f>
        <v>http://www.dailygammon.com/bg/game/4999682/0/list#end</v>
      </c>
    </row>
    <row r="113" spans="1:14" ht="29" hidden="1" x14ac:dyDescent="0.35">
      <c r="A113" s="51" t="s">
        <v>88</v>
      </c>
      <c r="B113" s="52" t="s">
        <v>113</v>
      </c>
      <c r="C113" s="55" t="s">
        <v>83</v>
      </c>
      <c r="D113" s="54">
        <v>10.583333333333334</v>
      </c>
      <c r="E113" s="55" t="s">
        <v>1</v>
      </c>
      <c r="F113" s="55">
        <v>11</v>
      </c>
      <c r="G113" s="56" t="s">
        <v>55</v>
      </c>
      <c r="H113" s="57" t="s">
        <v>76</v>
      </c>
      <c r="I113" s="56" t="s">
        <v>58</v>
      </c>
      <c r="J113" t="str">
        <f t="shared" si="12"/>
        <v>Cafeplayer vs. Mattias Roos</v>
      </c>
      <c r="K113" t="str">
        <f t="shared" si="13"/>
        <v>Cafeplayer</v>
      </c>
      <c r="L113" t="str">
        <f t="shared" si="14"/>
        <v>Mattias Roos</v>
      </c>
      <c r="M113" t="b">
        <f t="shared" si="15"/>
        <v>0</v>
      </c>
      <c r="N113" t="str">
        <f>harmoniseMatchLink(getHyperlink(H113))</f>
        <v>http://www.dailygammon.com/bg/game/4999895/0/list#end</v>
      </c>
    </row>
    <row r="114" spans="1:14" ht="29" x14ac:dyDescent="0.35">
      <c r="A114" s="51" t="s">
        <v>105</v>
      </c>
      <c r="B114" s="52" t="s">
        <v>113</v>
      </c>
      <c r="C114" s="55" t="s">
        <v>83</v>
      </c>
      <c r="D114" s="54">
        <v>10.625</v>
      </c>
      <c r="E114" s="55" t="s">
        <v>1</v>
      </c>
      <c r="F114" s="55">
        <v>11</v>
      </c>
      <c r="G114" s="56" t="s">
        <v>55</v>
      </c>
      <c r="H114" s="57" t="s">
        <v>76</v>
      </c>
      <c r="I114" s="56" t="s">
        <v>115</v>
      </c>
      <c r="J114" t="str">
        <f t="shared" si="12"/>
        <v>Cafeplayer vs. phinneas</v>
      </c>
      <c r="K114" t="str">
        <f t="shared" si="13"/>
        <v>Cafeplayer</v>
      </c>
      <c r="L114" t="str">
        <f t="shared" si="14"/>
        <v>phinneas</v>
      </c>
      <c r="M114" t="b">
        <f t="shared" si="15"/>
        <v>0</v>
      </c>
      <c r="N114" t="str">
        <f>harmoniseMatchLink(getHyperlink(H114))</f>
        <v>http://www.dailygammon.com/bg/game/4999646/0/list#end</v>
      </c>
    </row>
    <row r="115" spans="1:14" ht="29" hidden="1" x14ac:dyDescent="0.35">
      <c r="A115" s="51" t="s">
        <v>141</v>
      </c>
      <c r="B115" s="52" t="s">
        <v>113</v>
      </c>
      <c r="C115" s="53">
        <v>0.69027777777777777</v>
      </c>
      <c r="D115" s="54">
        <v>10.541666666666666</v>
      </c>
      <c r="E115" s="55" t="s">
        <v>1</v>
      </c>
      <c r="F115" s="55">
        <v>11</v>
      </c>
      <c r="G115" s="56" t="s">
        <v>55</v>
      </c>
      <c r="H115" s="57" t="s">
        <v>76</v>
      </c>
      <c r="I115" s="56" t="s">
        <v>59</v>
      </c>
      <c r="J115" t="str">
        <f t="shared" si="12"/>
        <v>Cafeplayer vs. Sandr</v>
      </c>
      <c r="K115" t="str">
        <f t="shared" si="13"/>
        <v>Cafeplayer</v>
      </c>
      <c r="L115" t="str">
        <f t="shared" si="14"/>
        <v>Sandr</v>
      </c>
      <c r="M115" t="b">
        <f t="shared" si="15"/>
        <v>0</v>
      </c>
      <c r="N115" t="str">
        <f>harmoniseMatchLink(getHyperlink(H115))</f>
        <v>http://www.dailygammon.com/bg/game/4999714/0/list#end</v>
      </c>
    </row>
    <row r="116" spans="1:14" ht="29" hidden="1" x14ac:dyDescent="0.35">
      <c r="A116" s="51" t="s">
        <v>132</v>
      </c>
      <c r="B116" s="52" t="s">
        <v>113</v>
      </c>
      <c r="C116" s="53">
        <v>0.65486111111111112</v>
      </c>
      <c r="D116" s="54">
        <v>10.583333333333334</v>
      </c>
      <c r="E116" s="55" t="s">
        <v>1</v>
      </c>
      <c r="F116" s="55">
        <v>11</v>
      </c>
      <c r="G116" s="56" t="s">
        <v>55</v>
      </c>
      <c r="H116" s="57" t="s">
        <v>76</v>
      </c>
      <c r="I116" s="56" t="s">
        <v>114</v>
      </c>
      <c r="J116" t="str">
        <f t="shared" si="12"/>
        <v>Cafeplayer vs. skonaman</v>
      </c>
      <c r="K116" t="str">
        <f t="shared" si="13"/>
        <v>Cafeplayer</v>
      </c>
      <c r="L116" t="str">
        <f t="shared" si="14"/>
        <v>skonaman</v>
      </c>
      <c r="M116" t="b">
        <f t="shared" si="15"/>
        <v>0</v>
      </c>
      <c r="N116" t="str">
        <f>harmoniseMatchLink(getHyperlink(H116))</f>
        <v>http://www.dailygammon.com/bg/game/4999689/0/list#end</v>
      </c>
    </row>
    <row r="117" spans="1:14" ht="29" hidden="1" x14ac:dyDescent="0.35">
      <c r="A117" s="51" t="s">
        <v>111</v>
      </c>
      <c r="B117" s="52" t="s">
        <v>113</v>
      </c>
      <c r="C117" s="53">
        <v>0.59305555555555556</v>
      </c>
      <c r="D117" s="54">
        <v>10.541666666666666</v>
      </c>
      <c r="E117" s="55" t="s">
        <v>1</v>
      </c>
      <c r="F117" s="55">
        <v>11</v>
      </c>
      <c r="G117" s="56" t="s">
        <v>55</v>
      </c>
      <c r="H117" s="57" t="s">
        <v>76</v>
      </c>
      <c r="I117" s="56" t="s">
        <v>60</v>
      </c>
      <c r="J117" t="str">
        <f t="shared" si="12"/>
        <v>Cafeplayer vs. Zenswang</v>
      </c>
      <c r="K117" t="str">
        <f t="shared" si="13"/>
        <v>Cafeplayer</v>
      </c>
      <c r="L117" t="str">
        <f t="shared" si="14"/>
        <v>Zenswang</v>
      </c>
      <c r="M117" t="b">
        <f t="shared" si="15"/>
        <v>0</v>
      </c>
      <c r="N117" t="str">
        <f>harmoniseMatchLink(getHyperlink(H117))</f>
        <v>http://www.dailygammon.com/bg/game/4999660/0/list#end</v>
      </c>
    </row>
    <row r="118" spans="1:14" ht="29" hidden="1" x14ac:dyDescent="0.35">
      <c r="A118" s="51" t="s">
        <v>106</v>
      </c>
      <c r="B118" s="52" t="s">
        <v>113</v>
      </c>
      <c r="C118" s="53">
        <v>0.89861111111111114</v>
      </c>
      <c r="D118" s="54">
        <v>10.458333333333334</v>
      </c>
      <c r="E118" s="55" t="s">
        <v>1</v>
      </c>
      <c r="F118" s="55">
        <v>11</v>
      </c>
      <c r="G118" s="56" t="s">
        <v>56</v>
      </c>
      <c r="H118" s="57" t="s">
        <v>76</v>
      </c>
      <c r="I118" s="31" t="s">
        <v>53</v>
      </c>
      <c r="J118" t="str">
        <f t="shared" si="12"/>
        <v>dzsobacsi vs. Animalj</v>
      </c>
      <c r="K118" t="str">
        <f t="shared" si="13"/>
        <v>dzsobacsi</v>
      </c>
      <c r="L118" t="str">
        <f t="shared" si="14"/>
        <v>Animalj</v>
      </c>
      <c r="M118" t="b">
        <f t="shared" si="15"/>
        <v>0</v>
      </c>
      <c r="N118" t="str">
        <f>harmoniseMatchLink(getHyperlink(H118))</f>
        <v>http://www.dailygammon.com/bg/game/5000029/0/list#end</v>
      </c>
    </row>
    <row r="119" spans="1:14" ht="29" hidden="1" x14ac:dyDescent="0.35">
      <c r="A119" s="51" t="s">
        <v>112</v>
      </c>
      <c r="B119" s="52" t="s">
        <v>113</v>
      </c>
      <c r="C119" s="53">
        <v>0.90347222222222223</v>
      </c>
      <c r="D119" s="54">
        <v>10.5</v>
      </c>
      <c r="E119" s="55" t="s">
        <v>1</v>
      </c>
      <c r="F119" s="55">
        <v>11</v>
      </c>
      <c r="G119" s="56" t="s">
        <v>56</v>
      </c>
      <c r="H119" s="57" t="s">
        <v>76</v>
      </c>
      <c r="I119" s="56" t="s">
        <v>54</v>
      </c>
      <c r="J119" t="str">
        <f t="shared" si="12"/>
        <v>dzsobacsi vs. API</v>
      </c>
      <c r="K119" t="str">
        <f t="shared" si="13"/>
        <v>dzsobacsi</v>
      </c>
      <c r="L119" t="str">
        <f t="shared" si="14"/>
        <v>API</v>
      </c>
      <c r="M119" t="b">
        <f t="shared" si="15"/>
        <v>0</v>
      </c>
      <c r="N119" t="str">
        <f>harmoniseMatchLink(getHyperlink(H119))</f>
        <v>http://www.dailygammon.com/bg/game/4999997/0/list#end</v>
      </c>
    </row>
    <row r="120" spans="1:14" ht="29" hidden="1" x14ac:dyDescent="0.35">
      <c r="A120" s="51" t="s">
        <v>151</v>
      </c>
      <c r="B120" s="52" t="s">
        <v>113</v>
      </c>
      <c r="C120" s="53">
        <v>0.89583333333333337</v>
      </c>
      <c r="D120" s="54">
        <v>10.541666666666666</v>
      </c>
      <c r="E120" s="55" t="s">
        <v>1</v>
      </c>
      <c r="F120" s="55">
        <v>11</v>
      </c>
      <c r="G120" s="56" t="s">
        <v>56</v>
      </c>
      <c r="H120" s="57" t="s">
        <v>76</v>
      </c>
      <c r="I120" s="56" t="s">
        <v>55</v>
      </c>
      <c r="J120" t="str">
        <f t="shared" si="12"/>
        <v>dzsobacsi vs. Cafeplayer</v>
      </c>
      <c r="K120" t="str">
        <f t="shared" si="13"/>
        <v>dzsobacsi</v>
      </c>
      <c r="L120" t="str">
        <f t="shared" si="14"/>
        <v>Cafeplayer</v>
      </c>
      <c r="M120" t="b">
        <f t="shared" si="15"/>
        <v>0</v>
      </c>
      <c r="N120" t="str">
        <f>harmoniseMatchLink(getHyperlink(H120))</f>
        <v>http://www.dailygammon.com/bg/game/5000049/0/list#end</v>
      </c>
    </row>
    <row r="121" spans="1:14" ht="29" hidden="1" x14ac:dyDescent="0.35">
      <c r="A121" s="51" t="s">
        <v>88</v>
      </c>
      <c r="B121" s="52" t="s">
        <v>113</v>
      </c>
      <c r="C121" s="53">
        <v>0.9590277777777777</v>
      </c>
      <c r="D121" s="54">
        <v>10.791666666666666</v>
      </c>
      <c r="E121" s="55" t="s">
        <v>1</v>
      </c>
      <c r="F121" s="55">
        <v>11</v>
      </c>
      <c r="G121" s="56" t="s">
        <v>56</v>
      </c>
      <c r="H121" s="57" t="s">
        <v>76</v>
      </c>
      <c r="I121" s="56" t="s">
        <v>57</v>
      </c>
      <c r="J121" t="str">
        <f t="shared" si="12"/>
        <v>dzsobacsi vs. hcc1670</v>
      </c>
      <c r="K121" t="str">
        <f t="shared" si="13"/>
        <v>dzsobacsi</v>
      </c>
      <c r="L121" t="str">
        <f t="shared" si="14"/>
        <v>hcc1670</v>
      </c>
      <c r="M121" t="b">
        <f t="shared" si="15"/>
        <v>0</v>
      </c>
      <c r="N121" t="str">
        <f>harmoniseMatchLink(getHyperlink(H121))</f>
        <v>http://www.dailygammon.com/bg/game/5000015/0/list#end</v>
      </c>
    </row>
    <row r="122" spans="1:14" ht="29" hidden="1" x14ac:dyDescent="0.35">
      <c r="A122" s="51" t="s">
        <v>87</v>
      </c>
      <c r="B122" s="52" t="s">
        <v>113</v>
      </c>
      <c r="C122" s="53">
        <v>0.90138888888888891</v>
      </c>
      <c r="D122" s="54">
        <v>10.541666666666666</v>
      </c>
      <c r="E122" s="55" t="s">
        <v>1</v>
      </c>
      <c r="F122" s="55">
        <v>11</v>
      </c>
      <c r="G122" s="56" t="s">
        <v>56</v>
      </c>
      <c r="H122" s="57" t="s">
        <v>76</v>
      </c>
      <c r="I122" s="56" t="s">
        <v>58</v>
      </c>
      <c r="J122" t="str">
        <f t="shared" si="12"/>
        <v>dzsobacsi vs. Mattias Roos</v>
      </c>
      <c r="K122" t="str">
        <f t="shared" si="13"/>
        <v>dzsobacsi</v>
      </c>
      <c r="L122" t="str">
        <f t="shared" si="14"/>
        <v>Mattias Roos</v>
      </c>
      <c r="M122" t="b">
        <f t="shared" si="15"/>
        <v>0</v>
      </c>
      <c r="N122" t="str">
        <f>harmoniseMatchLink(getHyperlink(H122))</f>
        <v>http://www.dailygammon.com/bg/game/5000002/0/list#end</v>
      </c>
    </row>
    <row r="123" spans="1:14" ht="29" hidden="1" x14ac:dyDescent="0.35">
      <c r="A123" s="51" t="s">
        <v>143</v>
      </c>
      <c r="B123" s="52" t="s">
        <v>113</v>
      </c>
      <c r="C123" s="53">
        <v>0.89930555555555547</v>
      </c>
      <c r="D123" s="54">
        <v>10.541666666666666</v>
      </c>
      <c r="E123" s="55" t="s">
        <v>1</v>
      </c>
      <c r="F123" s="55">
        <v>11</v>
      </c>
      <c r="G123" s="56" t="s">
        <v>56</v>
      </c>
      <c r="H123" s="57" t="s">
        <v>76</v>
      </c>
      <c r="I123" s="56" t="s">
        <v>59</v>
      </c>
      <c r="J123" t="str">
        <f t="shared" si="12"/>
        <v>dzsobacsi vs. Sandr</v>
      </c>
      <c r="K123" t="str">
        <f t="shared" si="13"/>
        <v>dzsobacsi</v>
      </c>
      <c r="L123" t="str">
        <f t="shared" si="14"/>
        <v>Sandr</v>
      </c>
      <c r="M123" t="b">
        <f t="shared" si="15"/>
        <v>0</v>
      </c>
      <c r="N123" t="str">
        <f>harmoniseMatchLink(getHyperlink(H123))</f>
        <v>http://www.dailygammon.com/bg/game/4999996/0/list#end</v>
      </c>
    </row>
    <row r="124" spans="1:14" ht="29" hidden="1" x14ac:dyDescent="0.35">
      <c r="A124" s="51" t="s">
        <v>164</v>
      </c>
      <c r="B124" s="52" t="s">
        <v>113</v>
      </c>
      <c r="C124" s="53">
        <v>0.97986111111111107</v>
      </c>
      <c r="D124" s="54">
        <v>10.583333333333334</v>
      </c>
      <c r="E124" s="55" t="s">
        <v>1</v>
      </c>
      <c r="F124" s="55">
        <v>11</v>
      </c>
      <c r="G124" s="56" t="s">
        <v>56</v>
      </c>
      <c r="H124" s="57" t="s">
        <v>76</v>
      </c>
      <c r="I124" s="56" t="s">
        <v>114</v>
      </c>
      <c r="J124" t="str">
        <f t="shared" si="12"/>
        <v>dzsobacsi vs. skonaman</v>
      </c>
      <c r="K124" t="str">
        <f t="shared" si="13"/>
        <v>dzsobacsi</v>
      </c>
      <c r="L124" t="str">
        <f t="shared" si="14"/>
        <v>skonaman</v>
      </c>
      <c r="M124" t="b">
        <f t="shared" si="15"/>
        <v>0</v>
      </c>
      <c r="N124" t="str">
        <f>harmoniseMatchLink(getHyperlink(H124))</f>
        <v>http://www.dailygammon.com/bg/game/5000102/0/list#end</v>
      </c>
    </row>
    <row r="125" spans="1:14" ht="29" hidden="1" x14ac:dyDescent="0.35">
      <c r="A125" s="51" t="s">
        <v>89</v>
      </c>
      <c r="B125" s="52" t="s">
        <v>113</v>
      </c>
      <c r="C125" s="53">
        <v>0.60902777777777783</v>
      </c>
      <c r="D125" s="54">
        <v>10.541666666666666</v>
      </c>
      <c r="E125" s="55" t="s">
        <v>1</v>
      </c>
      <c r="F125" s="55">
        <v>11</v>
      </c>
      <c r="G125" s="56" t="s">
        <v>56</v>
      </c>
      <c r="H125" s="57" t="s">
        <v>76</v>
      </c>
      <c r="I125" s="56" t="s">
        <v>60</v>
      </c>
      <c r="J125" t="str">
        <f t="shared" si="12"/>
        <v>dzsobacsi vs. Zenswang</v>
      </c>
      <c r="K125" t="str">
        <f t="shared" si="13"/>
        <v>dzsobacsi</v>
      </c>
      <c r="L125" t="str">
        <f t="shared" si="14"/>
        <v>Zenswang</v>
      </c>
      <c r="M125" t="b">
        <f t="shared" si="15"/>
        <v>0</v>
      </c>
      <c r="N125" t="str">
        <f>harmoniseMatchLink(getHyperlink(H125))</f>
        <v>http://www.dailygammon.com/bg/game/5000001/0/list#end</v>
      </c>
    </row>
    <row r="126" spans="1:14" ht="29" hidden="1" x14ac:dyDescent="0.35">
      <c r="A126" s="51" t="s">
        <v>108</v>
      </c>
      <c r="B126" s="52" t="s">
        <v>113</v>
      </c>
      <c r="C126" s="53">
        <v>0.73125000000000007</v>
      </c>
      <c r="D126" s="54">
        <v>10.625</v>
      </c>
      <c r="E126" s="55" t="s">
        <v>1</v>
      </c>
      <c r="F126" s="55">
        <v>11</v>
      </c>
      <c r="G126" s="56" t="s">
        <v>57</v>
      </c>
      <c r="H126" s="57" t="s">
        <v>76</v>
      </c>
      <c r="I126" s="31" t="s">
        <v>53</v>
      </c>
      <c r="J126" t="str">
        <f t="shared" si="12"/>
        <v>hcc1670 vs. Animalj</v>
      </c>
      <c r="K126" t="str">
        <f t="shared" si="13"/>
        <v>hcc1670</v>
      </c>
      <c r="L126" t="str">
        <f t="shared" si="14"/>
        <v>Animalj</v>
      </c>
      <c r="M126" t="b">
        <f t="shared" si="15"/>
        <v>0</v>
      </c>
      <c r="N126" t="str">
        <f>harmoniseMatchLink(getHyperlink(H126))</f>
        <v>http://www.dailygammon.com/bg/game/4999243/0/list#end</v>
      </c>
    </row>
    <row r="127" spans="1:14" ht="29" hidden="1" x14ac:dyDescent="0.35">
      <c r="A127" s="51" t="s">
        <v>99</v>
      </c>
      <c r="B127" s="52" t="s">
        <v>113</v>
      </c>
      <c r="C127" s="53">
        <v>0.92569444444444438</v>
      </c>
      <c r="D127" s="54">
        <v>10.75</v>
      </c>
      <c r="E127" s="55" t="s">
        <v>1</v>
      </c>
      <c r="F127" s="55">
        <v>11</v>
      </c>
      <c r="G127" s="56" t="s">
        <v>57</v>
      </c>
      <c r="H127" s="57" t="s">
        <v>76</v>
      </c>
      <c r="I127" s="56" t="s">
        <v>54</v>
      </c>
      <c r="J127" t="str">
        <f t="shared" si="12"/>
        <v>hcc1670 vs. API</v>
      </c>
      <c r="K127" t="str">
        <f t="shared" si="13"/>
        <v>hcc1670</v>
      </c>
      <c r="L127" t="str">
        <f t="shared" si="14"/>
        <v>API</v>
      </c>
      <c r="M127" t="b">
        <f t="shared" si="15"/>
        <v>0</v>
      </c>
      <c r="N127" t="str">
        <f>harmoniseMatchLink(getHyperlink(H127))</f>
        <v>http://www.dailygammon.com/bg/game/4999073/0/list#end</v>
      </c>
    </row>
    <row r="128" spans="1:14" ht="29" hidden="1" x14ac:dyDescent="0.35">
      <c r="A128" s="51" t="s">
        <v>96</v>
      </c>
      <c r="B128" s="52" t="s">
        <v>113</v>
      </c>
      <c r="C128" s="53">
        <v>0.92708333333333337</v>
      </c>
      <c r="D128" s="54">
        <v>10.875</v>
      </c>
      <c r="E128" s="55" t="s">
        <v>1</v>
      </c>
      <c r="F128" s="55">
        <v>11</v>
      </c>
      <c r="G128" s="56" t="s">
        <v>57</v>
      </c>
      <c r="H128" s="57" t="s">
        <v>76</v>
      </c>
      <c r="I128" s="56" t="s">
        <v>55</v>
      </c>
      <c r="J128" t="str">
        <f t="shared" si="12"/>
        <v>hcc1670 vs. Cafeplayer</v>
      </c>
      <c r="K128" t="str">
        <f t="shared" si="13"/>
        <v>hcc1670</v>
      </c>
      <c r="L128" t="str">
        <f t="shared" si="14"/>
        <v>Cafeplayer</v>
      </c>
      <c r="M128" t="b">
        <f t="shared" si="15"/>
        <v>0</v>
      </c>
      <c r="N128" t="str">
        <f>harmoniseMatchLink(getHyperlink(H128))</f>
        <v>http://www.dailygammon.com/bg/game/4999616/0/list#end</v>
      </c>
    </row>
    <row r="129" spans="1:14" ht="29" hidden="1" x14ac:dyDescent="0.35">
      <c r="A129" s="51" t="s">
        <v>109</v>
      </c>
      <c r="B129" s="52" t="s">
        <v>113</v>
      </c>
      <c r="C129" s="55" t="s">
        <v>83</v>
      </c>
      <c r="D129" s="54">
        <v>11.25</v>
      </c>
      <c r="E129" s="55" t="s">
        <v>1</v>
      </c>
      <c r="F129" s="55">
        <v>11</v>
      </c>
      <c r="G129" s="56" t="s">
        <v>57</v>
      </c>
      <c r="H129" s="57" t="s">
        <v>76</v>
      </c>
      <c r="I129" s="56" t="s">
        <v>56</v>
      </c>
      <c r="J129" t="str">
        <f t="shared" si="12"/>
        <v>hcc1670 vs. dzsobacsi</v>
      </c>
      <c r="K129" t="str">
        <f t="shared" si="13"/>
        <v>hcc1670</v>
      </c>
      <c r="L129" t="str">
        <f t="shared" si="14"/>
        <v>dzsobacsi</v>
      </c>
      <c r="M129" t="b">
        <f t="shared" si="15"/>
        <v>0</v>
      </c>
      <c r="N129" t="str">
        <f>harmoniseMatchLink(getHyperlink(H129))</f>
        <v>http://www.dailygammon.com/bg/game/4999175/0/list#end</v>
      </c>
    </row>
    <row r="130" spans="1:14" ht="29" hidden="1" x14ac:dyDescent="0.35">
      <c r="A130" s="51" t="s">
        <v>77</v>
      </c>
      <c r="B130" s="52" t="s">
        <v>113</v>
      </c>
      <c r="C130" s="53">
        <v>0.92361111111111116</v>
      </c>
      <c r="D130" s="54">
        <v>10.833333333333334</v>
      </c>
      <c r="E130" s="55" t="s">
        <v>1</v>
      </c>
      <c r="F130" s="55">
        <v>11</v>
      </c>
      <c r="G130" s="56" t="s">
        <v>57</v>
      </c>
      <c r="H130" s="57" t="s">
        <v>76</v>
      </c>
      <c r="I130" s="56" t="s">
        <v>58</v>
      </c>
      <c r="J130" t="str">
        <f t="shared" ref="J130:J161" si="16">IF(M130,I130 &amp; " vs. " &amp; G130,G130 &amp; " vs. " &amp; I130)</f>
        <v>hcc1670 vs. Mattias Roos</v>
      </c>
      <c r="K130" t="str">
        <f t="shared" ref="K130:K161" si="17">IF(M130,I130,G130)</f>
        <v>hcc1670</v>
      </c>
      <c r="L130" t="str">
        <f t="shared" ref="L130:L161" si="18">IF(M130,G130,I130)</f>
        <v>Mattias Roos</v>
      </c>
      <c r="M130" t="b">
        <f t="shared" ref="M130:M161" si="19">isFirstLeg(H130)</f>
        <v>0</v>
      </c>
      <c r="N130" t="str">
        <f>harmoniseMatchLink(getHyperlink(H130))</f>
        <v>http://www.dailygammon.com/bg/game/4999447/0/list#end</v>
      </c>
    </row>
    <row r="131" spans="1:14" ht="29" x14ac:dyDescent="0.35">
      <c r="A131" s="51" t="s">
        <v>112</v>
      </c>
      <c r="B131" s="52" t="s">
        <v>113</v>
      </c>
      <c r="C131" s="55" t="s">
        <v>83</v>
      </c>
      <c r="D131" s="54">
        <v>10.958333333333334</v>
      </c>
      <c r="E131" s="55" t="s">
        <v>1</v>
      </c>
      <c r="F131" s="55">
        <v>11</v>
      </c>
      <c r="G131" s="56" t="s">
        <v>57</v>
      </c>
      <c r="H131" s="57" t="s">
        <v>76</v>
      </c>
      <c r="I131" s="56" t="s">
        <v>115</v>
      </c>
      <c r="J131" t="str">
        <f t="shared" si="16"/>
        <v>hcc1670 vs. phinneas</v>
      </c>
      <c r="K131" t="str">
        <f t="shared" si="17"/>
        <v>hcc1670</v>
      </c>
      <c r="L131" t="str">
        <f t="shared" si="18"/>
        <v>phinneas</v>
      </c>
      <c r="M131" t="b">
        <f t="shared" si="19"/>
        <v>0</v>
      </c>
      <c r="N131" t="str">
        <f>harmoniseMatchLink(getHyperlink(H131))</f>
        <v>http://www.dailygammon.com/bg/game/4999156/0/list#end</v>
      </c>
    </row>
    <row r="132" spans="1:14" ht="29" hidden="1" x14ac:dyDescent="0.35">
      <c r="A132" s="51" t="s">
        <v>102</v>
      </c>
      <c r="B132" s="52" t="s">
        <v>113</v>
      </c>
      <c r="C132" s="53">
        <v>0.73611111111111116</v>
      </c>
      <c r="D132" s="54">
        <v>10.666666666666666</v>
      </c>
      <c r="E132" s="55" t="s">
        <v>1</v>
      </c>
      <c r="F132" s="55">
        <v>11</v>
      </c>
      <c r="G132" s="56" t="s">
        <v>57</v>
      </c>
      <c r="H132" s="57" t="s">
        <v>76</v>
      </c>
      <c r="I132" s="56" t="s">
        <v>59</v>
      </c>
      <c r="J132" t="str">
        <f t="shared" si="16"/>
        <v>hcc1670 vs. Sandr</v>
      </c>
      <c r="K132" t="str">
        <f t="shared" si="17"/>
        <v>hcc1670</v>
      </c>
      <c r="L132" t="str">
        <f t="shared" si="18"/>
        <v>Sandr</v>
      </c>
      <c r="M132" t="b">
        <f t="shared" si="19"/>
        <v>0</v>
      </c>
      <c r="N132" t="str">
        <f>harmoniseMatchLink(getHyperlink(H132))</f>
        <v>http://www.dailygammon.com/bg/game/4999302/0/list#end</v>
      </c>
    </row>
    <row r="133" spans="1:14" ht="29" hidden="1" x14ac:dyDescent="0.35">
      <c r="A133" s="51" t="s">
        <v>161</v>
      </c>
      <c r="B133" s="52" t="s">
        <v>113</v>
      </c>
      <c r="C133" s="53">
        <v>0.92569444444444438</v>
      </c>
      <c r="D133" s="54">
        <v>11.208333333333334</v>
      </c>
      <c r="E133" s="55" t="s">
        <v>1</v>
      </c>
      <c r="F133" s="55">
        <v>11</v>
      </c>
      <c r="G133" s="56" t="s">
        <v>57</v>
      </c>
      <c r="H133" s="57" t="s">
        <v>76</v>
      </c>
      <c r="I133" s="56" t="s">
        <v>114</v>
      </c>
      <c r="J133" t="str">
        <f t="shared" si="16"/>
        <v>hcc1670 vs. skonaman</v>
      </c>
      <c r="K133" t="str">
        <f t="shared" si="17"/>
        <v>hcc1670</v>
      </c>
      <c r="L133" t="str">
        <f t="shared" si="18"/>
        <v>skonaman</v>
      </c>
      <c r="M133" t="b">
        <f t="shared" si="19"/>
        <v>0</v>
      </c>
      <c r="N133" t="str">
        <f>harmoniseMatchLink(getHyperlink(H133))</f>
        <v>http://www.dailygammon.com/bg/game/4999122/0/list#end</v>
      </c>
    </row>
    <row r="134" spans="1:14" ht="29" hidden="1" x14ac:dyDescent="0.35">
      <c r="A134" s="51" t="s">
        <v>100</v>
      </c>
      <c r="B134" s="52" t="s">
        <v>113</v>
      </c>
      <c r="C134" s="53">
        <v>0.56458333333333333</v>
      </c>
      <c r="D134" s="54">
        <v>10.75</v>
      </c>
      <c r="E134" s="55" t="s">
        <v>1</v>
      </c>
      <c r="F134" s="55">
        <v>11</v>
      </c>
      <c r="G134" s="56" t="s">
        <v>57</v>
      </c>
      <c r="H134" s="57" t="s">
        <v>76</v>
      </c>
      <c r="I134" s="56" t="s">
        <v>60</v>
      </c>
      <c r="J134" t="str">
        <f t="shared" si="16"/>
        <v>hcc1670 vs. Zenswang</v>
      </c>
      <c r="K134" t="str">
        <f t="shared" si="17"/>
        <v>hcc1670</v>
      </c>
      <c r="L134" t="str">
        <f t="shared" si="18"/>
        <v>Zenswang</v>
      </c>
      <c r="M134" t="b">
        <f t="shared" si="19"/>
        <v>0</v>
      </c>
      <c r="N134" t="str">
        <f>harmoniseMatchLink(getHyperlink(H134))</f>
        <v>http://www.dailygammon.com/bg/game/4999210/0/list#end</v>
      </c>
    </row>
    <row r="135" spans="1:14" ht="29" hidden="1" x14ac:dyDescent="0.35">
      <c r="A135" s="51" t="s">
        <v>112</v>
      </c>
      <c r="B135" s="52" t="s">
        <v>113</v>
      </c>
      <c r="C135" s="53">
        <v>0.83888888888888891</v>
      </c>
      <c r="D135" s="54">
        <v>10.541666666666666</v>
      </c>
      <c r="E135" s="55" t="s">
        <v>1</v>
      </c>
      <c r="F135" s="55">
        <v>11</v>
      </c>
      <c r="G135" s="56" t="s">
        <v>58</v>
      </c>
      <c r="H135" s="57" t="s">
        <v>76</v>
      </c>
      <c r="I135" s="31" t="s">
        <v>53</v>
      </c>
      <c r="J135" t="str">
        <f t="shared" si="16"/>
        <v>Mattias Roos vs. Animalj</v>
      </c>
      <c r="K135" t="str">
        <f t="shared" si="17"/>
        <v>Mattias Roos</v>
      </c>
      <c r="L135" t="str">
        <f t="shared" si="18"/>
        <v>Animalj</v>
      </c>
      <c r="M135" t="b">
        <f t="shared" si="19"/>
        <v>0</v>
      </c>
      <c r="N135" t="str">
        <f>harmoniseMatchLink(getHyperlink(H135))</f>
        <v>http://www.dailygammon.com/bg/game/4999726/0/list#end</v>
      </c>
    </row>
    <row r="136" spans="1:14" ht="29" hidden="1" x14ac:dyDescent="0.35">
      <c r="A136" s="51" t="s">
        <v>111</v>
      </c>
      <c r="B136" s="52" t="s">
        <v>113</v>
      </c>
      <c r="C136" s="55" t="s">
        <v>83</v>
      </c>
      <c r="D136" s="54">
        <v>10.666666666666666</v>
      </c>
      <c r="E136" s="55" t="s">
        <v>1</v>
      </c>
      <c r="F136" s="55">
        <v>11</v>
      </c>
      <c r="G136" s="56" t="s">
        <v>58</v>
      </c>
      <c r="H136" s="57" t="s">
        <v>76</v>
      </c>
      <c r="I136" s="56" t="s">
        <v>54</v>
      </c>
      <c r="J136" t="str">
        <f t="shared" si="16"/>
        <v>Mattias Roos vs. API</v>
      </c>
      <c r="K136" t="str">
        <f t="shared" si="17"/>
        <v>Mattias Roos</v>
      </c>
      <c r="L136" t="str">
        <f t="shared" si="18"/>
        <v>API</v>
      </c>
      <c r="M136" t="b">
        <f t="shared" si="19"/>
        <v>0</v>
      </c>
      <c r="N136" t="str">
        <f>harmoniseMatchLink(getHyperlink(H136))</f>
        <v>http://www.dailygammon.com/bg/game/4999455/0/list#end</v>
      </c>
    </row>
    <row r="137" spans="1:14" ht="29" hidden="1" x14ac:dyDescent="0.35">
      <c r="A137" s="51" t="s">
        <v>139</v>
      </c>
      <c r="B137" s="52" t="s">
        <v>113</v>
      </c>
      <c r="C137" s="53">
        <v>0.83958333333333324</v>
      </c>
      <c r="D137" s="54">
        <v>10.541666666666666</v>
      </c>
      <c r="E137" s="55" t="s">
        <v>1</v>
      </c>
      <c r="F137" s="55">
        <v>11</v>
      </c>
      <c r="G137" s="56" t="s">
        <v>58</v>
      </c>
      <c r="H137" s="57" t="s">
        <v>76</v>
      </c>
      <c r="I137" s="56" t="s">
        <v>55</v>
      </c>
      <c r="J137" t="str">
        <f t="shared" si="16"/>
        <v>Mattias Roos vs. Cafeplayer</v>
      </c>
      <c r="K137" t="str">
        <f t="shared" si="17"/>
        <v>Mattias Roos</v>
      </c>
      <c r="L137" t="str">
        <f t="shared" si="18"/>
        <v>Cafeplayer</v>
      </c>
      <c r="M137" t="b">
        <f t="shared" si="19"/>
        <v>0</v>
      </c>
      <c r="N137" t="str">
        <f>harmoniseMatchLink(getHyperlink(H137))</f>
        <v>http://www.dailygammon.com/bg/game/4999617/0/list#end</v>
      </c>
    </row>
    <row r="138" spans="1:14" ht="29" hidden="1" x14ac:dyDescent="0.35">
      <c r="A138" s="51" t="s">
        <v>101</v>
      </c>
      <c r="B138" s="52" t="s">
        <v>113</v>
      </c>
      <c r="C138" s="55" t="s">
        <v>83</v>
      </c>
      <c r="D138" s="54">
        <v>10.708333333333334</v>
      </c>
      <c r="E138" s="55" t="s">
        <v>1</v>
      </c>
      <c r="F138" s="55">
        <v>11</v>
      </c>
      <c r="G138" s="56" t="s">
        <v>58</v>
      </c>
      <c r="H138" s="57" t="s">
        <v>76</v>
      </c>
      <c r="I138" s="56" t="s">
        <v>56</v>
      </c>
      <c r="J138" t="str">
        <f t="shared" si="16"/>
        <v>Mattias Roos vs. dzsobacsi</v>
      </c>
      <c r="K138" t="str">
        <f t="shared" si="17"/>
        <v>Mattias Roos</v>
      </c>
      <c r="L138" t="str">
        <f t="shared" si="18"/>
        <v>dzsobacsi</v>
      </c>
      <c r="M138" t="b">
        <f t="shared" si="19"/>
        <v>0</v>
      </c>
      <c r="N138" t="str">
        <f>harmoniseMatchLink(getHyperlink(H138))</f>
        <v>http://www.dailygammon.com/bg/game/4999662/0/list#end</v>
      </c>
    </row>
    <row r="139" spans="1:14" ht="29" hidden="1" x14ac:dyDescent="0.35">
      <c r="A139" s="51" t="s">
        <v>103</v>
      </c>
      <c r="B139" s="52" t="s">
        <v>113</v>
      </c>
      <c r="C139" s="55" t="s">
        <v>83</v>
      </c>
      <c r="D139" s="54">
        <v>10.875</v>
      </c>
      <c r="E139" s="55" t="s">
        <v>1</v>
      </c>
      <c r="F139" s="55">
        <v>11</v>
      </c>
      <c r="G139" s="56" t="s">
        <v>58</v>
      </c>
      <c r="H139" s="57" t="s">
        <v>76</v>
      </c>
      <c r="I139" s="56" t="s">
        <v>57</v>
      </c>
      <c r="J139" t="str">
        <f t="shared" si="16"/>
        <v>Mattias Roos vs. hcc1670</v>
      </c>
      <c r="K139" t="str">
        <f t="shared" si="17"/>
        <v>Mattias Roos</v>
      </c>
      <c r="L139" t="str">
        <f t="shared" si="18"/>
        <v>hcc1670</v>
      </c>
      <c r="M139" t="b">
        <f t="shared" si="19"/>
        <v>0</v>
      </c>
      <c r="N139" t="str">
        <f>harmoniseMatchLink(getHyperlink(H139))</f>
        <v>http://www.dailygammon.com/bg/game/4999556/0/list#end</v>
      </c>
    </row>
    <row r="140" spans="1:14" ht="29" x14ac:dyDescent="0.35">
      <c r="A140" s="51" t="s">
        <v>118</v>
      </c>
      <c r="B140" s="52" t="s">
        <v>113</v>
      </c>
      <c r="C140" s="55" t="s">
        <v>83</v>
      </c>
      <c r="D140" s="54">
        <v>10.583333333333334</v>
      </c>
      <c r="E140" s="55" t="s">
        <v>1</v>
      </c>
      <c r="F140" s="55">
        <v>11</v>
      </c>
      <c r="G140" s="56" t="s">
        <v>58</v>
      </c>
      <c r="H140" s="57" t="s">
        <v>76</v>
      </c>
      <c r="I140" s="56" t="s">
        <v>115</v>
      </c>
      <c r="J140" t="str">
        <f t="shared" si="16"/>
        <v>Mattias Roos vs. phinneas</v>
      </c>
      <c r="K140" t="str">
        <f t="shared" si="17"/>
        <v>Mattias Roos</v>
      </c>
      <c r="L140" t="str">
        <f t="shared" si="18"/>
        <v>phinneas</v>
      </c>
      <c r="M140" t="b">
        <f t="shared" si="19"/>
        <v>0</v>
      </c>
      <c r="N140" t="str">
        <f>harmoniseMatchLink(getHyperlink(H140))</f>
        <v>http://www.dailygammon.com/bg/game/4999453/0/list#end</v>
      </c>
    </row>
    <row r="141" spans="1:14" ht="29" hidden="1" x14ac:dyDescent="0.35">
      <c r="A141" s="51" t="s">
        <v>142</v>
      </c>
      <c r="B141" s="52" t="s">
        <v>113</v>
      </c>
      <c r="C141" s="53">
        <v>0.83888888888888891</v>
      </c>
      <c r="D141" s="54">
        <v>10.583333333333334</v>
      </c>
      <c r="E141" s="55" t="s">
        <v>1</v>
      </c>
      <c r="F141" s="55">
        <v>11</v>
      </c>
      <c r="G141" s="56" t="s">
        <v>58</v>
      </c>
      <c r="H141" s="57" t="s">
        <v>76</v>
      </c>
      <c r="I141" s="56" t="s">
        <v>59</v>
      </c>
      <c r="J141" t="str">
        <f t="shared" si="16"/>
        <v>Mattias Roos vs. Sandr</v>
      </c>
      <c r="K141" t="str">
        <f t="shared" si="17"/>
        <v>Mattias Roos</v>
      </c>
      <c r="L141" t="str">
        <f t="shared" si="18"/>
        <v>Sandr</v>
      </c>
      <c r="M141" t="b">
        <f t="shared" si="19"/>
        <v>0</v>
      </c>
      <c r="N141" t="str">
        <f>harmoniseMatchLink(getHyperlink(H141))</f>
        <v>http://www.dailygammon.com/bg/game/4999715/0/list#end</v>
      </c>
    </row>
    <row r="142" spans="1:14" ht="29" hidden="1" x14ac:dyDescent="0.35">
      <c r="A142" s="51" t="s">
        <v>129</v>
      </c>
      <c r="B142" s="52" t="s">
        <v>113</v>
      </c>
      <c r="C142" s="55" t="s">
        <v>83</v>
      </c>
      <c r="D142" s="54">
        <v>10.541666666666666</v>
      </c>
      <c r="E142" s="55" t="s">
        <v>1</v>
      </c>
      <c r="F142" s="55">
        <v>11</v>
      </c>
      <c r="G142" s="56" t="s">
        <v>58</v>
      </c>
      <c r="H142" s="57" t="s">
        <v>76</v>
      </c>
      <c r="I142" s="56" t="s">
        <v>114</v>
      </c>
      <c r="J142" t="str">
        <f t="shared" si="16"/>
        <v>Mattias Roos vs. skonaman</v>
      </c>
      <c r="K142" t="str">
        <f t="shared" si="17"/>
        <v>Mattias Roos</v>
      </c>
      <c r="L142" t="str">
        <f t="shared" si="18"/>
        <v>skonaman</v>
      </c>
      <c r="M142" t="b">
        <f t="shared" si="19"/>
        <v>0</v>
      </c>
      <c r="N142" t="str">
        <f>harmoniseMatchLink(getHyperlink(H142))</f>
        <v>http://www.dailygammon.com/bg/game/4999466/0/list#end</v>
      </c>
    </row>
    <row r="143" spans="1:14" ht="29" hidden="1" x14ac:dyDescent="0.35">
      <c r="A143" s="51" t="s">
        <v>109</v>
      </c>
      <c r="B143" s="52" t="s">
        <v>113</v>
      </c>
      <c r="C143" s="55" t="s">
        <v>83</v>
      </c>
      <c r="D143" s="54">
        <v>10.708333333333334</v>
      </c>
      <c r="E143" s="55" t="s">
        <v>1</v>
      </c>
      <c r="F143" s="55">
        <v>11</v>
      </c>
      <c r="G143" s="56" t="s">
        <v>58</v>
      </c>
      <c r="H143" s="57" t="s">
        <v>76</v>
      </c>
      <c r="I143" s="56" t="s">
        <v>60</v>
      </c>
      <c r="J143" t="str">
        <f t="shared" si="16"/>
        <v>Mattias Roos vs. Zenswang</v>
      </c>
      <c r="K143" t="str">
        <f t="shared" si="17"/>
        <v>Mattias Roos</v>
      </c>
      <c r="L143" t="str">
        <f t="shared" si="18"/>
        <v>Zenswang</v>
      </c>
      <c r="M143" t="b">
        <f t="shared" si="19"/>
        <v>0</v>
      </c>
      <c r="N143" t="str">
        <f>harmoniseMatchLink(getHyperlink(H143))</f>
        <v>http://www.dailygammon.com/bg/game/4999560/0/list#end</v>
      </c>
    </row>
    <row r="144" spans="1:14" ht="29" hidden="1" x14ac:dyDescent="0.35">
      <c r="A144" s="51" t="s">
        <v>98</v>
      </c>
      <c r="B144" s="52" t="s">
        <v>113</v>
      </c>
      <c r="C144" s="53">
        <v>0.95277777777777783</v>
      </c>
      <c r="D144" s="54">
        <v>10.541666666666666</v>
      </c>
      <c r="E144" s="55" t="s">
        <v>1</v>
      </c>
      <c r="F144" s="55">
        <v>11</v>
      </c>
      <c r="G144" s="56" t="s">
        <v>115</v>
      </c>
      <c r="H144" s="57" t="s">
        <v>76</v>
      </c>
      <c r="I144" s="31" t="s">
        <v>53</v>
      </c>
      <c r="J144" t="str">
        <f t="shared" si="16"/>
        <v>phinneas vs. Animalj</v>
      </c>
      <c r="K144" t="str">
        <f t="shared" si="17"/>
        <v>phinneas</v>
      </c>
      <c r="L144" t="str">
        <f t="shared" si="18"/>
        <v>Animalj</v>
      </c>
      <c r="M144" t="b">
        <f t="shared" si="19"/>
        <v>0</v>
      </c>
      <c r="N144" t="str">
        <f>harmoniseMatchLink(getHyperlink(H144))</f>
        <v>http://www.dailygammon.com/bg/game/4999241/0/list#end</v>
      </c>
    </row>
    <row r="145" spans="1:14" ht="29" hidden="1" x14ac:dyDescent="0.35">
      <c r="A145" s="51" t="s">
        <v>81</v>
      </c>
      <c r="B145" s="52" t="s">
        <v>113</v>
      </c>
      <c r="C145" s="53">
        <v>0.95138888888888884</v>
      </c>
      <c r="D145" s="54">
        <v>10.525</v>
      </c>
      <c r="E145" s="55" t="s">
        <v>1</v>
      </c>
      <c r="F145" s="55">
        <v>11</v>
      </c>
      <c r="G145" s="56" t="s">
        <v>115</v>
      </c>
      <c r="H145" s="57" t="s">
        <v>76</v>
      </c>
      <c r="I145" s="56" t="s">
        <v>54</v>
      </c>
      <c r="J145" t="str">
        <f t="shared" si="16"/>
        <v>phinneas vs. API</v>
      </c>
      <c r="K145" t="str">
        <f t="shared" si="17"/>
        <v>phinneas</v>
      </c>
      <c r="L145" t="str">
        <f t="shared" si="18"/>
        <v>API</v>
      </c>
      <c r="M145" t="b">
        <f t="shared" si="19"/>
        <v>0</v>
      </c>
      <c r="N145" t="str">
        <f>harmoniseMatchLink(getHyperlink(H145))</f>
        <v>http://www.dailygammon.com/bg/game/4998859/0/list#end</v>
      </c>
    </row>
    <row r="146" spans="1:14" ht="29" hidden="1" x14ac:dyDescent="0.35">
      <c r="A146" s="51" t="s">
        <v>94</v>
      </c>
      <c r="B146" s="52" t="s">
        <v>113</v>
      </c>
      <c r="C146" s="53">
        <v>0.95763888888888893</v>
      </c>
      <c r="D146" s="54">
        <v>11</v>
      </c>
      <c r="E146" s="55" t="s">
        <v>1</v>
      </c>
      <c r="F146" s="55">
        <v>11</v>
      </c>
      <c r="G146" s="56" t="s">
        <v>115</v>
      </c>
      <c r="H146" s="57" t="s">
        <v>76</v>
      </c>
      <c r="I146" s="56" t="s">
        <v>55</v>
      </c>
      <c r="J146" t="str">
        <f t="shared" si="16"/>
        <v>phinneas vs. Cafeplayer</v>
      </c>
      <c r="K146" t="str">
        <f t="shared" si="17"/>
        <v>phinneas</v>
      </c>
      <c r="L146" t="str">
        <f t="shared" si="18"/>
        <v>Cafeplayer</v>
      </c>
      <c r="M146" t="b">
        <f t="shared" si="19"/>
        <v>0</v>
      </c>
      <c r="N146" t="str">
        <f>harmoniseMatchLink(getHyperlink(H146))</f>
        <v>http://www.dailygammon.com/bg/game/4998619/0/list#end</v>
      </c>
    </row>
    <row r="147" spans="1:14" ht="29" hidden="1" x14ac:dyDescent="0.35">
      <c r="A147" s="51" t="s">
        <v>87</v>
      </c>
      <c r="B147" s="52" t="s">
        <v>113</v>
      </c>
      <c r="C147" s="55" t="s">
        <v>83</v>
      </c>
      <c r="D147" s="54">
        <v>10.666666666666666</v>
      </c>
      <c r="E147" s="55" t="s">
        <v>1</v>
      </c>
      <c r="F147" s="55">
        <v>11</v>
      </c>
      <c r="G147" s="56" t="s">
        <v>115</v>
      </c>
      <c r="H147" s="57" t="s">
        <v>76</v>
      </c>
      <c r="I147" s="56" t="s">
        <v>56</v>
      </c>
      <c r="J147" t="str">
        <f t="shared" si="16"/>
        <v>phinneas vs. dzsobacsi</v>
      </c>
      <c r="K147" t="str">
        <f t="shared" si="17"/>
        <v>phinneas</v>
      </c>
      <c r="L147" t="str">
        <f t="shared" si="18"/>
        <v>dzsobacsi</v>
      </c>
      <c r="M147" t="b">
        <f t="shared" si="19"/>
        <v>0</v>
      </c>
      <c r="N147" t="str">
        <f>harmoniseMatchLink(getHyperlink(H147))</f>
        <v>http://www.dailygammon.com/bg/game/4998695/0/list#end</v>
      </c>
    </row>
    <row r="148" spans="1:14" ht="29" hidden="1" x14ac:dyDescent="0.35">
      <c r="A148" s="51" t="s">
        <v>117</v>
      </c>
      <c r="B148" s="52" t="s">
        <v>113</v>
      </c>
      <c r="C148" s="53">
        <v>0.95624999999999993</v>
      </c>
      <c r="D148" s="54">
        <v>10.916666666666666</v>
      </c>
      <c r="E148" s="55" t="s">
        <v>1</v>
      </c>
      <c r="F148" s="55">
        <v>11</v>
      </c>
      <c r="G148" s="56" t="s">
        <v>115</v>
      </c>
      <c r="H148" s="57" t="s">
        <v>76</v>
      </c>
      <c r="I148" s="56" t="s">
        <v>57</v>
      </c>
      <c r="J148" t="str">
        <f t="shared" si="16"/>
        <v>phinneas vs. hcc1670</v>
      </c>
      <c r="K148" t="str">
        <f t="shared" si="17"/>
        <v>phinneas</v>
      </c>
      <c r="L148" t="str">
        <f t="shared" si="18"/>
        <v>hcc1670</v>
      </c>
      <c r="M148" t="b">
        <f t="shared" si="19"/>
        <v>0</v>
      </c>
      <c r="N148" t="str">
        <f>harmoniseMatchLink(getHyperlink(H148))</f>
        <v>http://www.dailygammon.com/bg/game/4998971/0/list#end</v>
      </c>
    </row>
    <row r="149" spans="1:14" ht="29" hidden="1" x14ac:dyDescent="0.35">
      <c r="A149" s="51" t="s">
        <v>84</v>
      </c>
      <c r="B149" s="52" t="s">
        <v>113</v>
      </c>
      <c r="C149" s="53">
        <v>0.95208333333333339</v>
      </c>
      <c r="D149" s="54">
        <v>10.583333333333334</v>
      </c>
      <c r="E149" s="55" t="s">
        <v>1</v>
      </c>
      <c r="F149" s="55">
        <v>11</v>
      </c>
      <c r="G149" s="56" t="s">
        <v>115</v>
      </c>
      <c r="H149" s="57" t="s">
        <v>76</v>
      </c>
      <c r="I149" s="56" t="s">
        <v>58</v>
      </c>
      <c r="J149" t="str">
        <f t="shared" si="16"/>
        <v>phinneas vs. Mattias Roos</v>
      </c>
      <c r="K149" t="str">
        <f t="shared" si="17"/>
        <v>phinneas</v>
      </c>
      <c r="L149" t="str">
        <f t="shared" si="18"/>
        <v>Mattias Roos</v>
      </c>
      <c r="M149" t="b">
        <f t="shared" si="19"/>
        <v>0</v>
      </c>
      <c r="N149" t="str">
        <f>harmoniseMatchLink(getHyperlink(H149))</f>
        <v>http://www.dailygammon.com/bg/game/4999437/0/list#end</v>
      </c>
    </row>
    <row r="150" spans="1:14" ht="29" hidden="1" x14ac:dyDescent="0.35">
      <c r="A150" s="51" t="s">
        <v>112</v>
      </c>
      <c r="B150" s="52" t="s">
        <v>113</v>
      </c>
      <c r="C150" s="53">
        <v>0.95486111111111116</v>
      </c>
      <c r="D150" s="54">
        <v>10.708333333333334</v>
      </c>
      <c r="E150" s="55" t="s">
        <v>1</v>
      </c>
      <c r="F150" s="55">
        <v>11</v>
      </c>
      <c r="G150" s="56" t="s">
        <v>115</v>
      </c>
      <c r="H150" s="57" t="s">
        <v>76</v>
      </c>
      <c r="I150" s="56" t="s">
        <v>59</v>
      </c>
      <c r="J150" t="str">
        <f t="shared" si="16"/>
        <v>phinneas vs. Sandr</v>
      </c>
      <c r="K150" t="str">
        <f t="shared" si="17"/>
        <v>phinneas</v>
      </c>
      <c r="L150" t="str">
        <f t="shared" si="18"/>
        <v>Sandr</v>
      </c>
      <c r="M150" t="b">
        <f t="shared" si="19"/>
        <v>0</v>
      </c>
      <c r="N150" t="str">
        <f>harmoniseMatchLink(getHyperlink(H150))</f>
        <v>http://www.dailygammon.com/bg/game/4998766/0/list#end</v>
      </c>
    </row>
    <row r="151" spans="1:14" ht="29" hidden="1" x14ac:dyDescent="0.35">
      <c r="A151" s="51" t="s">
        <v>159</v>
      </c>
      <c r="B151" s="52" t="s">
        <v>113</v>
      </c>
      <c r="C151" s="55" t="s">
        <v>83</v>
      </c>
      <c r="D151" s="54">
        <v>10.75</v>
      </c>
      <c r="E151" s="55" t="s">
        <v>1</v>
      </c>
      <c r="F151" s="55">
        <v>11</v>
      </c>
      <c r="G151" s="56" t="s">
        <v>115</v>
      </c>
      <c r="H151" s="57" t="s">
        <v>76</v>
      </c>
      <c r="I151" s="56" t="s">
        <v>114</v>
      </c>
      <c r="J151" t="str">
        <f t="shared" si="16"/>
        <v>phinneas vs. skonaman</v>
      </c>
      <c r="K151" t="str">
        <f t="shared" si="17"/>
        <v>phinneas</v>
      </c>
      <c r="L151" t="str">
        <f t="shared" si="18"/>
        <v>skonaman</v>
      </c>
      <c r="M151" t="b">
        <f t="shared" si="19"/>
        <v>0</v>
      </c>
      <c r="N151" t="str">
        <f>harmoniseMatchLink(getHyperlink(H151))</f>
        <v>http://www.dailygammon.com/bg/game/4999120/0/list#end</v>
      </c>
    </row>
    <row r="152" spans="1:14" ht="29" hidden="1" x14ac:dyDescent="0.35">
      <c r="A152" s="51" t="s">
        <v>79</v>
      </c>
      <c r="B152" s="52" t="s">
        <v>113</v>
      </c>
      <c r="C152" s="53">
        <v>0.95416666666666661</v>
      </c>
      <c r="D152" s="54">
        <v>10.708333333333334</v>
      </c>
      <c r="E152" s="55" t="s">
        <v>1</v>
      </c>
      <c r="F152" s="55">
        <v>11</v>
      </c>
      <c r="G152" s="56" t="s">
        <v>115</v>
      </c>
      <c r="H152" s="57" t="s">
        <v>76</v>
      </c>
      <c r="I152" s="56" t="s">
        <v>60</v>
      </c>
      <c r="J152" t="str">
        <f t="shared" si="16"/>
        <v>phinneas vs. Zenswang</v>
      </c>
      <c r="K152" t="str">
        <f t="shared" si="17"/>
        <v>phinneas</v>
      </c>
      <c r="L152" t="str">
        <f t="shared" si="18"/>
        <v>Zenswang</v>
      </c>
      <c r="M152" t="b">
        <f t="shared" si="19"/>
        <v>0</v>
      </c>
      <c r="N152" t="str">
        <f>harmoniseMatchLink(getHyperlink(H152))</f>
        <v>http://www.dailygammon.com/bg/game/4998624/0/list#end</v>
      </c>
    </row>
    <row r="153" spans="1:14" ht="29" hidden="1" x14ac:dyDescent="0.35">
      <c r="A153" s="51" t="s">
        <v>103</v>
      </c>
      <c r="B153" s="52" t="s">
        <v>113</v>
      </c>
      <c r="C153" s="53">
        <v>0.68888888888888899</v>
      </c>
      <c r="D153" s="54">
        <v>10.583333333333334</v>
      </c>
      <c r="E153" s="55" t="s">
        <v>1</v>
      </c>
      <c r="F153" s="55">
        <v>11</v>
      </c>
      <c r="G153" s="56" t="s">
        <v>59</v>
      </c>
      <c r="H153" s="57" t="s">
        <v>76</v>
      </c>
      <c r="I153" s="31" t="s">
        <v>53</v>
      </c>
      <c r="J153" t="str">
        <f t="shared" si="16"/>
        <v>Sandr vs. Animalj</v>
      </c>
      <c r="K153" t="str">
        <f t="shared" si="17"/>
        <v>Sandr</v>
      </c>
      <c r="L153" t="str">
        <f t="shared" si="18"/>
        <v>Animalj</v>
      </c>
      <c r="M153" t="b">
        <f t="shared" si="19"/>
        <v>0</v>
      </c>
      <c r="N153" t="str">
        <f>harmoniseMatchLink(getHyperlink(H153))</f>
        <v>http://www.dailygammon.com/bg/game/4999242/0/list#end</v>
      </c>
    </row>
    <row r="154" spans="1:14" ht="29" hidden="1" x14ac:dyDescent="0.35">
      <c r="A154" s="51" t="s">
        <v>79</v>
      </c>
      <c r="B154" s="52" t="s">
        <v>113</v>
      </c>
      <c r="C154" s="55" t="s">
        <v>83</v>
      </c>
      <c r="D154" s="54">
        <v>10.625</v>
      </c>
      <c r="E154" s="55" t="s">
        <v>1</v>
      </c>
      <c r="F154" s="55">
        <v>11</v>
      </c>
      <c r="G154" s="56" t="s">
        <v>59</v>
      </c>
      <c r="H154" s="57" t="s">
        <v>76</v>
      </c>
      <c r="I154" s="56" t="s">
        <v>54</v>
      </c>
      <c r="J154" t="str">
        <f t="shared" si="16"/>
        <v>Sandr vs. API</v>
      </c>
      <c r="K154" t="str">
        <f t="shared" si="17"/>
        <v>Sandr</v>
      </c>
      <c r="L154" t="str">
        <f t="shared" si="18"/>
        <v>API</v>
      </c>
      <c r="M154" t="b">
        <f t="shared" si="19"/>
        <v>0</v>
      </c>
      <c r="N154" t="str">
        <f>harmoniseMatchLink(getHyperlink(H154))</f>
        <v>http://www.dailygammon.com/bg/game/4998857/0/list#end</v>
      </c>
    </row>
    <row r="155" spans="1:14" ht="29" hidden="1" x14ac:dyDescent="0.35">
      <c r="A155" s="51" t="s">
        <v>102</v>
      </c>
      <c r="B155" s="52" t="s">
        <v>113</v>
      </c>
      <c r="C155" s="55" t="s">
        <v>83</v>
      </c>
      <c r="D155" s="54">
        <v>10.583333333333334</v>
      </c>
      <c r="E155" s="55" t="s">
        <v>1</v>
      </c>
      <c r="F155" s="55">
        <v>11</v>
      </c>
      <c r="G155" s="56" t="s">
        <v>59</v>
      </c>
      <c r="H155" s="57" t="s">
        <v>76</v>
      </c>
      <c r="I155" s="56" t="s">
        <v>55</v>
      </c>
      <c r="J155" t="str">
        <f t="shared" si="16"/>
        <v>Sandr vs. Cafeplayer</v>
      </c>
      <c r="K155" t="str">
        <f t="shared" si="17"/>
        <v>Sandr</v>
      </c>
      <c r="L155" t="str">
        <f t="shared" si="18"/>
        <v>Cafeplayer</v>
      </c>
      <c r="M155" t="b">
        <f t="shared" si="19"/>
        <v>0</v>
      </c>
      <c r="N155" t="str">
        <f>harmoniseMatchLink(getHyperlink(H155))</f>
        <v>http://www.dailygammon.com/bg/game/4999615/0/list#end</v>
      </c>
    </row>
    <row r="156" spans="1:14" ht="29" hidden="1" x14ac:dyDescent="0.35">
      <c r="A156" s="51" t="s">
        <v>86</v>
      </c>
      <c r="B156" s="52" t="s">
        <v>113</v>
      </c>
      <c r="C156" s="55" t="s">
        <v>83</v>
      </c>
      <c r="D156" s="54">
        <v>10.916666666666666</v>
      </c>
      <c r="E156" s="55" t="s">
        <v>1</v>
      </c>
      <c r="F156" s="55">
        <v>11</v>
      </c>
      <c r="G156" s="56" t="s">
        <v>59</v>
      </c>
      <c r="H156" s="57" t="s">
        <v>76</v>
      </c>
      <c r="I156" s="56" t="s">
        <v>56</v>
      </c>
      <c r="J156" t="str">
        <f t="shared" si="16"/>
        <v>Sandr vs. dzsobacsi</v>
      </c>
      <c r="K156" t="str">
        <f t="shared" si="17"/>
        <v>Sandr</v>
      </c>
      <c r="L156" t="str">
        <f t="shared" si="18"/>
        <v>dzsobacsi</v>
      </c>
      <c r="M156" t="b">
        <f t="shared" si="19"/>
        <v>0</v>
      </c>
      <c r="N156" t="str">
        <f>harmoniseMatchLink(getHyperlink(H156))</f>
        <v>http://www.dailygammon.com/bg/game/4998922/0/list#end</v>
      </c>
    </row>
    <row r="157" spans="1:14" ht="29" hidden="1" x14ac:dyDescent="0.35">
      <c r="A157" s="51" t="s">
        <v>84</v>
      </c>
      <c r="B157" s="52" t="s">
        <v>113</v>
      </c>
      <c r="C157" s="55" t="s">
        <v>83</v>
      </c>
      <c r="D157" s="54">
        <v>10.875</v>
      </c>
      <c r="E157" s="55" t="s">
        <v>1</v>
      </c>
      <c r="F157" s="55">
        <v>11</v>
      </c>
      <c r="G157" s="56" t="s">
        <v>59</v>
      </c>
      <c r="H157" s="57" t="s">
        <v>76</v>
      </c>
      <c r="I157" s="56" t="s">
        <v>57</v>
      </c>
      <c r="J157" t="str">
        <f t="shared" si="16"/>
        <v>Sandr vs. hcc1670</v>
      </c>
      <c r="K157" t="str">
        <f t="shared" si="17"/>
        <v>Sandr</v>
      </c>
      <c r="L157" t="str">
        <f t="shared" si="18"/>
        <v>hcc1670</v>
      </c>
      <c r="M157" t="b">
        <f t="shared" si="19"/>
        <v>0</v>
      </c>
      <c r="N157" t="str">
        <f>harmoniseMatchLink(getHyperlink(H157))</f>
        <v>http://www.dailygammon.com/bg/game/4998972/0/list#end</v>
      </c>
    </row>
    <row r="158" spans="1:14" ht="29" hidden="1" x14ac:dyDescent="0.35">
      <c r="A158" s="51" t="s">
        <v>97</v>
      </c>
      <c r="B158" s="52" t="s">
        <v>113</v>
      </c>
      <c r="C158" s="55" t="s">
        <v>83</v>
      </c>
      <c r="D158" s="54">
        <v>10.666666666666666</v>
      </c>
      <c r="E158" s="55" t="s">
        <v>1</v>
      </c>
      <c r="F158" s="55">
        <v>11</v>
      </c>
      <c r="G158" s="56" t="s">
        <v>59</v>
      </c>
      <c r="H158" s="57" t="s">
        <v>76</v>
      </c>
      <c r="I158" s="56" t="s">
        <v>58</v>
      </c>
      <c r="J158" t="str">
        <f t="shared" si="16"/>
        <v>Sandr vs. Mattias Roos</v>
      </c>
      <c r="K158" t="str">
        <f t="shared" si="17"/>
        <v>Sandr</v>
      </c>
      <c r="L158" t="str">
        <f t="shared" si="18"/>
        <v>Mattias Roos</v>
      </c>
      <c r="M158" t="b">
        <f t="shared" si="19"/>
        <v>0</v>
      </c>
      <c r="N158" t="str">
        <f>harmoniseMatchLink(getHyperlink(H158))</f>
        <v>http://www.dailygammon.com/bg/game/4999438/0/list#end</v>
      </c>
    </row>
    <row r="159" spans="1:14" ht="29" x14ac:dyDescent="0.35">
      <c r="A159" s="51" t="s">
        <v>101</v>
      </c>
      <c r="B159" s="52" t="s">
        <v>113</v>
      </c>
      <c r="C159" s="55" t="s">
        <v>83</v>
      </c>
      <c r="D159" s="54">
        <v>10.75</v>
      </c>
      <c r="E159" s="55" t="s">
        <v>1</v>
      </c>
      <c r="F159" s="55">
        <v>11</v>
      </c>
      <c r="G159" s="56" t="s">
        <v>59</v>
      </c>
      <c r="H159" s="57" t="s">
        <v>76</v>
      </c>
      <c r="I159" s="56" t="s">
        <v>115</v>
      </c>
      <c r="J159" t="str">
        <f t="shared" si="16"/>
        <v>Sandr vs. phinneas</v>
      </c>
      <c r="K159" t="str">
        <f t="shared" si="17"/>
        <v>Sandr</v>
      </c>
      <c r="L159" t="str">
        <f t="shared" si="18"/>
        <v>phinneas</v>
      </c>
      <c r="M159" t="b">
        <f t="shared" si="19"/>
        <v>0</v>
      </c>
      <c r="N159" t="str">
        <f>harmoniseMatchLink(getHyperlink(H159))</f>
        <v>http://www.dailygammon.com/bg/game/4999155/0/list#end</v>
      </c>
    </row>
    <row r="160" spans="1:14" ht="29" hidden="1" x14ac:dyDescent="0.35">
      <c r="A160" s="51" t="s">
        <v>160</v>
      </c>
      <c r="B160" s="52" t="s">
        <v>113</v>
      </c>
      <c r="C160" s="55" t="s">
        <v>83</v>
      </c>
      <c r="D160" s="54">
        <v>10.875</v>
      </c>
      <c r="E160" s="55" t="s">
        <v>1</v>
      </c>
      <c r="F160" s="55">
        <v>11</v>
      </c>
      <c r="G160" s="56" t="s">
        <v>59</v>
      </c>
      <c r="H160" s="57" t="s">
        <v>76</v>
      </c>
      <c r="I160" s="56" t="s">
        <v>114</v>
      </c>
      <c r="J160" t="str">
        <f t="shared" si="16"/>
        <v>Sandr vs. skonaman</v>
      </c>
      <c r="K160" t="str">
        <f t="shared" si="17"/>
        <v>Sandr</v>
      </c>
      <c r="L160" t="str">
        <f t="shared" si="18"/>
        <v>skonaman</v>
      </c>
      <c r="M160" t="b">
        <f t="shared" si="19"/>
        <v>0</v>
      </c>
      <c r="N160" t="str">
        <f>harmoniseMatchLink(getHyperlink(H160))</f>
        <v>http://www.dailygammon.com/bg/game/4999121/0/list#end</v>
      </c>
    </row>
    <row r="161" spans="1:14" ht="29" hidden="1" x14ac:dyDescent="0.35">
      <c r="A161" s="51" t="s">
        <v>108</v>
      </c>
      <c r="B161" s="52" t="s">
        <v>113</v>
      </c>
      <c r="C161" s="55" t="s">
        <v>83</v>
      </c>
      <c r="D161" s="54">
        <v>10.708333333333334</v>
      </c>
      <c r="E161" s="55" t="s">
        <v>1</v>
      </c>
      <c r="F161" s="55">
        <v>11</v>
      </c>
      <c r="G161" s="56" t="s">
        <v>59</v>
      </c>
      <c r="H161" s="57" t="s">
        <v>76</v>
      </c>
      <c r="I161" s="56" t="s">
        <v>60</v>
      </c>
      <c r="J161" t="str">
        <f t="shared" si="16"/>
        <v>Sandr vs. Zenswang</v>
      </c>
      <c r="K161" t="str">
        <f t="shared" si="17"/>
        <v>Sandr</v>
      </c>
      <c r="L161" t="str">
        <f t="shared" si="18"/>
        <v>Zenswang</v>
      </c>
      <c r="M161" t="b">
        <f t="shared" si="19"/>
        <v>0</v>
      </c>
      <c r="N161" t="str">
        <f>harmoniseMatchLink(getHyperlink(H161))</f>
        <v>http://www.dailygammon.com/bg/game/4999209/0/list#end</v>
      </c>
    </row>
    <row r="162" spans="1:14" ht="29" hidden="1" x14ac:dyDescent="0.35">
      <c r="A162" s="51" t="s">
        <v>99</v>
      </c>
      <c r="B162" s="52" t="s">
        <v>113</v>
      </c>
      <c r="C162" s="53">
        <v>0.8618055555555556</v>
      </c>
      <c r="D162" s="54">
        <v>10.666666666666666</v>
      </c>
      <c r="E162" s="55" t="s">
        <v>1</v>
      </c>
      <c r="F162" s="55">
        <v>11</v>
      </c>
      <c r="G162" s="56" t="s">
        <v>114</v>
      </c>
      <c r="H162" s="57" t="s">
        <v>76</v>
      </c>
      <c r="I162" s="31" t="s">
        <v>53</v>
      </c>
      <c r="J162" t="str">
        <f t="shared" ref="J162:J188" si="20">IF(M162,I162 &amp; " vs. " &amp; G162,G162 &amp; " vs. " &amp; I162)</f>
        <v>skonaman vs. Animalj</v>
      </c>
      <c r="K162" t="str">
        <f t="shared" ref="K162:K188" si="21">IF(M162,I162,G162)</f>
        <v>skonaman</v>
      </c>
      <c r="L162" t="str">
        <f t="shared" ref="L162:L188" si="22">IF(M162,G162,I162)</f>
        <v>Animalj</v>
      </c>
      <c r="M162" t="b">
        <f t="shared" ref="M162:M188" si="23">isFirstLeg(H162)</f>
        <v>0</v>
      </c>
      <c r="N162" t="str">
        <f>harmoniseMatchLink(getHyperlink(H162))</f>
        <v>http://www.dailygammon.com/bg/game/4999240/0/list#end</v>
      </c>
    </row>
    <row r="163" spans="1:14" ht="29" hidden="1" x14ac:dyDescent="0.35">
      <c r="A163" s="51" t="s">
        <v>98</v>
      </c>
      <c r="B163" s="52" t="s">
        <v>113</v>
      </c>
      <c r="C163" s="53">
        <v>0.92083333333333339</v>
      </c>
      <c r="D163" s="54">
        <v>10.5</v>
      </c>
      <c r="E163" s="55" t="s">
        <v>1</v>
      </c>
      <c r="F163" s="55">
        <v>11</v>
      </c>
      <c r="G163" s="56" t="s">
        <v>114</v>
      </c>
      <c r="H163" s="57" t="s">
        <v>76</v>
      </c>
      <c r="I163" s="56" t="s">
        <v>54</v>
      </c>
      <c r="J163" t="str">
        <f t="shared" si="20"/>
        <v>skonaman vs. API</v>
      </c>
      <c r="K163" t="str">
        <f t="shared" si="21"/>
        <v>skonaman</v>
      </c>
      <c r="L163" t="str">
        <f t="shared" si="22"/>
        <v>API</v>
      </c>
      <c r="M163" t="b">
        <f t="shared" si="23"/>
        <v>0</v>
      </c>
      <c r="N163" t="str">
        <f>harmoniseMatchLink(getHyperlink(H163))</f>
        <v>http://www.dailygammon.com/bg/game/4999172/0/list#end</v>
      </c>
    </row>
    <row r="164" spans="1:14" ht="29" hidden="1" x14ac:dyDescent="0.35">
      <c r="A164" s="51" t="s">
        <v>93</v>
      </c>
      <c r="B164" s="52" t="s">
        <v>113</v>
      </c>
      <c r="C164" s="53">
        <v>0.86111111111111116</v>
      </c>
      <c r="D164" s="54">
        <v>10.625</v>
      </c>
      <c r="E164" s="55" t="s">
        <v>1</v>
      </c>
      <c r="F164" s="55">
        <v>11</v>
      </c>
      <c r="G164" s="56" t="s">
        <v>114</v>
      </c>
      <c r="H164" s="57" t="s">
        <v>76</v>
      </c>
      <c r="I164" s="56" t="s">
        <v>55</v>
      </c>
      <c r="J164" t="str">
        <f t="shared" si="20"/>
        <v>skonaman vs. Cafeplayer</v>
      </c>
      <c r="K164" t="str">
        <f t="shared" si="21"/>
        <v>skonaman</v>
      </c>
      <c r="L164" t="str">
        <f t="shared" si="22"/>
        <v>Cafeplayer</v>
      </c>
      <c r="M164" t="b">
        <f t="shared" si="23"/>
        <v>0</v>
      </c>
      <c r="N164" t="str">
        <f>harmoniseMatchLink(getHyperlink(H164))</f>
        <v>http://www.dailygammon.com/bg/game/4999612/0/list#end</v>
      </c>
    </row>
    <row r="165" spans="1:14" ht="29" hidden="1" x14ac:dyDescent="0.35">
      <c r="A165" s="51" t="s">
        <v>91</v>
      </c>
      <c r="B165" s="52" t="s">
        <v>113</v>
      </c>
      <c r="C165" s="55" t="s">
        <v>83</v>
      </c>
      <c r="D165" s="54">
        <v>10.791666666666666</v>
      </c>
      <c r="E165" s="55" t="s">
        <v>1</v>
      </c>
      <c r="F165" s="55">
        <v>11</v>
      </c>
      <c r="G165" s="56" t="s">
        <v>114</v>
      </c>
      <c r="H165" s="57" t="s">
        <v>76</v>
      </c>
      <c r="I165" s="56" t="s">
        <v>56</v>
      </c>
      <c r="J165" t="str">
        <f t="shared" si="20"/>
        <v>skonaman vs. dzsobacsi</v>
      </c>
      <c r="K165" t="str">
        <f t="shared" si="21"/>
        <v>skonaman</v>
      </c>
      <c r="L165" t="str">
        <f t="shared" si="22"/>
        <v>dzsobacsi</v>
      </c>
      <c r="M165" t="b">
        <f t="shared" si="23"/>
        <v>0</v>
      </c>
      <c r="N165" t="str">
        <f>harmoniseMatchLink(getHyperlink(H165))</f>
        <v>http://www.dailygammon.com/bg/game/4999174/0/list#end</v>
      </c>
    </row>
    <row r="166" spans="1:14" ht="29" hidden="1" x14ac:dyDescent="0.35">
      <c r="A166" s="51" t="s">
        <v>78</v>
      </c>
      <c r="B166" s="52" t="s">
        <v>113</v>
      </c>
      <c r="C166" s="53">
        <v>0.94444444444444453</v>
      </c>
      <c r="D166" s="54">
        <v>11.083333333333334</v>
      </c>
      <c r="E166" s="55" t="s">
        <v>1</v>
      </c>
      <c r="F166" s="55">
        <v>11</v>
      </c>
      <c r="G166" s="56" t="s">
        <v>114</v>
      </c>
      <c r="H166" s="57" t="s">
        <v>76</v>
      </c>
      <c r="I166" s="56" t="s">
        <v>57</v>
      </c>
      <c r="J166" t="str">
        <f t="shared" si="20"/>
        <v>skonaman vs. hcc1670</v>
      </c>
      <c r="K166" t="str">
        <f t="shared" si="21"/>
        <v>skonaman</v>
      </c>
      <c r="L166" t="str">
        <f t="shared" si="22"/>
        <v>hcc1670</v>
      </c>
      <c r="M166" t="b">
        <f t="shared" si="23"/>
        <v>0</v>
      </c>
      <c r="N166" t="str">
        <f>harmoniseMatchLink(getHyperlink(H166))</f>
        <v>http://www.dailygammon.com/bg/game/4999235/0/list#end</v>
      </c>
    </row>
    <row r="167" spans="1:14" ht="29" hidden="1" x14ac:dyDescent="0.35">
      <c r="A167" s="51" t="s">
        <v>85</v>
      </c>
      <c r="B167" s="52" t="s">
        <v>113</v>
      </c>
      <c r="C167" s="53">
        <v>0.91666666666666663</v>
      </c>
      <c r="D167" s="54">
        <v>10.583333333333334</v>
      </c>
      <c r="E167" s="55" t="s">
        <v>1</v>
      </c>
      <c r="F167" s="55">
        <v>11</v>
      </c>
      <c r="G167" s="56" t="s">
        <v>114</v>
      </c>
      <c r="H167" s="57" t="s">
        <v>76</v>
      </c>
      <c r="I167" s="56" t="s">
        <v>58</v>
      </c>
      <c r="J167" t="str">
        <f t="shared" si="20"/>
        <v>skonaman vs. Mattias Roos</v>
      </c>
      <c r="K167" t="str">
        <f t="shared" si="21"/>
        <v>skonaman</v>
      </c>
      <c r="L167" t="str">
        <f t="shared" si="22"/>
        <v>Mattias Roos</v>
      </c>
      <c r="M167" t="b">
        <f t="shared" si="23"/>
        <v>0</v>
      </c>
      <c r="N167" t="str">
        <f>harmoniseMatchLink(getHyperlink(H167))</f>
        <v>http://www.dailygammon.com/bg/game/4999445/0/list#end</v>
      </c>
    </row>
    <row r="168" spans="1:14" ht="29" x14ac:dyDescent="0.35">
      <c r="A168" s="51" t="s">
        <v>106</v>
      </c>
      <c r="B168" s="52" t="s">
        <v>113</v>
      </c>
      <c r="C168" s="53">
        <v>0.97361111111111109</v>
      </c>
      <c r="D168" s="54">
        <v>10.708333333333334</v>
      </c>
      <c r="E168" s="55" t="s">
        <v>1</v>
      </c>
      <c r="F168" s="55">
        <v>11</v>
      </c>
      <c r="G168" s="56" t="s">
        <v>114</v>
      </c>
      <c r="H168" s="57" t="s">
        <v>76</v>
      </c>
      <c r="I168" s="56" t="s">
        <v>115</v>
      </c>
      <c r="J168" t="str">
        <f t="shared" si="20"/>
        <v>skonaman vs. phinneas</v>
      </c>
      <c r="K168" t="str">
        <f t="shared" si="21"/>
        <v>skonaman</v>
      </c>
      <c r="L168" t="str">
        <f t="shared" si="22"/>
        <v>phinneas</v>
      </c>
      <c r="M168" t="b">
        <f t="shared" si="23"/>
        <v>0</v>
      </c>
      <c r="N168" t="str">
        <f>harmoniseMatchLink(getHyperlink(H168))</f>
        <v>http://www.dailygammon.com/bg/game/4999183/0/list#end</v>
      </c>
    </row>
    <row r="169" spans="1:14" ht="29" hidden="1" x14ac:dyDescent="0.35">
      <c r="A169" s="51" t="s">
        <v>118</v>
      </c>
      <c r="B169" s="52" t="s">
        <v>113</v>
      </c>
      <c r="C169" s="53">
        <v>0.86388888888888893</v>
      </c>
      <c r="D169" s="54">
        <v>10.833333333333334</v>
      </c>
      <c r="E169" s="55" t="s">
        <v>1</v>
      </c>
      <c r="F169" s="55">
        <v>11</v>
      </c>
      <c r="G169" s="56" t="s">
        <v>114</v>
      </c>
      <c r="H169" s="57" t="s">
        <v>76</v>
      </c>
      <c r="I169" s="56" t="s">
        <v>59</v>
      </c>
      <c r="J169" t="str">
        <f t="shared" si="20"/>
        <v>skonaman vs. Sandr</v>
      </c>
      <c r="K169" t="str">
        <f t="shared" si="21"/>
        <v>skonaman</v>
      </c>
      <c r="L169" t="str">
        <f t="shared" si="22"/>
        <v>Sandr</v>
      </c>
      <c r="M169" t="b">
        <f t="shared" si="23"/>
        <v>0</v>
      </c>
      <c r="N169" t="str">
        <f>harmoniseMatchLink(getHyperlink(H169))</f>
        <v>http://www.dailygammon.com/bg/game/4999177/0/list#end</v>
      </c>
    </row>
    <row r="170" spans="1:14" ht="29" hidden="1" x14ac:dyDescent="0.35">
      <c r="A170" s="51" t="s">
        <v>88</v>
      </c>
      <c r="B170" s="52" t="s">
        <v>113</v>
      </c>
      <c r="C170" s="53">
        <v>0.97361111111111109</v>
      </c>
      <c r="D170" s="54">
        <v>10.708333333333334</v>
      </c>
      <c r="E170" s="55" t="s">
        <v>1</v>
      </c>
      <c r="F170" s="55">
        <v>11</v>
      </c>
      <c r="G170" s="56" t="s">
        <v>114</v>
      </c>
      <c r="H170" s="57" t="s">
        <v>76</v>
      </c>
      <c r="I170" s="56" t="s">
        <v>60</v>
      </c>
      <c r="J170" t="str">
        <f t="shared" si="20"/>
        <v>skonaman vs. Zenswang</v>
      </c>
      <c r="K170" t="str">
        <f t="shared" si="21"/>
        <v>skonaman</v>
      </c>
      <c r="L170" t="str">
        <f t="shared" si="22"/>
        <v>Zenswang</v>
      </c>
      <c r="M170" t="b">
        <f t="shared" si="23"/>
        <v>0</v>
      </c>
      <c r="N170" t="str">
        <f>harmoniseMatchLink(getHyperlink(H170))</f>
        <v>http://www.dailygammon.com/bg/game/4999211/0/list#end</v>
      </c>
    </row>
    <row r="171" spans="1:14" ht="29" hidden="1" x14ac:dyDescent="0.35">
      <c r="A171" s="51" t="s">
        <v>80</v>
      </c>
      <c r="B171" s="52" t="s">
        <v>113</v>
      </c>
      <c r="C171" s="53">
        <v>0.95000000000000007</v>
      </c>
      <c r="D171" s="54">
        <v>10.583333333333334</v>
      </c>
      <c r="E171" s="55" t="s">
        <v>1</v>
      </c>
      <c r="F171" s="55">
        <v>11</v>
      </c>
      <c r="G171" s="56" t="s">
        <v>60</v>
      </c>
      <c r="H171" s="57" t="s">
        <v>76</v>
      </c>
      <c r="I171" s="31" t="s">
        <v>53</v>
      </c>
      <c r="J171" t="str">
        <f t="shared" si="20"/>
        <v>Zenswang vs. Animalj</v>
      </c>
      <c r="K171" t="str">
        <f t="shared" si="21"/>
        <v>Zenswang</v>
      </c>
      <c r="L171" t="str">
        <f t="shared" si="22"/>
        <v>Animalj</v>
      </c>
      <c r="M171" t="b">
        <f t="shared" si="23"/>
        <v>0</v>
      </c>
      <c r="N171" t="str">
        <f>harmoniseMatchLink(getHyperlink(H171))</f>
        <v>http://www.dailygammon.com/bg/game/4998604/0/list#end</v>
      </c>
    </row>
    <row r="172" spans="1:14" ht="29" hidden="1" x14ac:dyDescent="0.35">
      <c r="A172" s="51" t="s">
        <v>80</v>
      </c>
      <c r="B172" s="52" t="s">
        <v>113</v>
      </c>
      <c r="C172" s="55" t="s">
        <v>83</v>
      </c>
      <c r="D172" s="54">
        <v>10.541666666666666</v>
      </c>
      <c r="E172" s="55" t="s">
        <v>1</v>
      </c>
      <c r="F172" s="55">
        <v>11</v>
      </c>
      <c r="G172" s="56" t="s">
        <v>60</v>
      </c>
      <c r="H172" s="57" t="s">
        <v>76</v>
      </c>
      <c r="I172" s="56" t="s">
        <v>54</v>
      </c>
      <c r="J172" t="str">
        <f t="shared" si="20"/>
        <v>Zenswang vs. API</v>
      </c>
      <c r="K172" t="str">
        <f t="shared" si="21"/>
        <v>Zenswang</v>
      </c>
      <c r="L172" t="str">
        <f t="shared" si="22"/>
        <v>API</v>
      </c>
      <c r="M172" t="b">
        <f t="shared" si="23"/>
        <v>0</v>
      </c>
      <c r="N172" t="str">
        <f>harmoniseMatchLink(getHyperlink(H172))</f>
        <v>http://www.dailygammon.com/bg/game/4998858/0/list#end</v>
      </c>
    </row>
    <row r="173" spans="1:14" ht="29" hidden="1" x14ac:dyDescent="0.35">
      <c r="A173" s="51" t="s">
        <v>110</v>
      </c>
      <c r="B173" s="52" t="s">
        <v>113</v>
      </c>
      <c r="C173" s="55" t="s">
        <v>83</v>
      </c>
      <c r="D173" s="54">
        <v>10.708333333333334</v>
      </c>
      <c r="E173" s="55" t="s">
        <v>1</v>
      </c>
      <c r="F173" s="55">
        <v>11</v>
      </c>
      <c r="G173" s="56" t="s">
        <v>60</v>
      </c>
      <c r="H173" s="57" t="s">
        <v>76</v>
      </c>
      <c r="I173" s="56" t="s">
        <v>55</v>
      </c>
      <c r="J173" t="str">
        <f t="shared" si="20"/>
        <v>Zenswang vs. Cafeplayer</v>
      </c>
      <c r="K173" t="str">
        <f t="shared" si="21"/>
        <v>Zenswang</v>
      </c>
      <c r="L173" t="str">
        <f t="shared" si="22"/>
        <v>Cafeplayer</v>
      </c>
      <c r="M173" t="b">
        <f t="shared" si="23"/>
        <v>0</v>
      </c>
      <c r="N173" t="str">
        <f>harmoniseMatchLink(getHyperlink(H173))</f>
        <v>http://www.dailygammon.com/bg/game/4998618/0/list#end</v>
      </c>
    </row>
    <row r="174" spans="1:14" ht="29" hidden="1" x14ac:dyDescent="0.35">
      <c r="A174" s="51" t="s">
        <v>88</v>
      </c>
      <c r="B174" s="52" t="s">
        <v>113</v>
      </c>
      <c r="C174" s="55" t="s">
        <v>83</v>
      </c>
      <c r="D174" s="54">
        <v>10.625</v>
      </c>
      <c r="E174" s="55" t="s">
        <v>1</v>
      </c>
      <c r="F174" s="55">
        <v>11</v>
      </c>
      <c r="G174" s="56" t="s">
        <v>60</v>
      </c>
      <c r="H174" s="57" t="s">
        <v>76</v>
      </c>
      <c r="I174" s="56" t="s">
        <v>56</v>
      </c>
      <c r="J174" t="str">
        <f t="shared" si="20"/>
        <v>Zenswang vs. dzsobacsi</v>
      </c>
      <c r="K174" t="str">
        <f t="shared" si="21"/>
        <v>Zenswang</v>
      </c>
      <c r="L174" t="str">
        <f t="shared" si="22"/>
        <v>dzsobacsi</v>
      </c>
      <c r="M174" t="b">
        <f t="shared" si="23"/>
        <v>0</v>
      </c>
      <c r="N174" t="str">
        <f>harmoniseMatchLink(getHyperlink(H174))</f>
        <v>http://www.dailygammon.com/bg/game/4998694/0/list#end</v>
      </c>
    </row>
    <row r="175" spans="1:14" ht="29" hidden="1" x14ac:dyDescent="0.35">
      <c r="A175" s="51" t="s">
        <v>116</v>
      </c>
      <c r="B175" s="52" t="s">
        <v>113</v>
      </c>
      <c r="C175" s="55" t="s">
        <v>83</v>
      </c>
      <c r="D175" s="54">
        <v>10.833333333333334</v>
      </c>
      <c r="E175" s="55" t="s">
        <v>1</v>
      </c>
      <c r="F175" s="55">
        <v>11</v>
      </c>
      <c r="G175" s="56" t="s">
        <v>60</v>
      </c>
      <c r="H175" s="57" t="s">
        <v>76</v>
      </c>
      <c r="I175" s="56" t="s">
        <v>57</v>
      </c>
      <c r="J175" t="str">
        <f t="shared" si="20"/>
        <v>Zenswang vs. hcc1670</v>
      </c>
      <c r="K175" t="str">
        <f t="shared" si="21"/>
        <v>Zenswang</v>
      </c>
      <c r="L175" t="str">
        <f t="shared" si="22"/>
        <v>hcc1670</v>
      </c>
      <c r="M175" t="b">
        <f t="shared" si="23"/>
        <v>0</v>
      </c>
      <c r="N175" t="str">
        <f>harmoniseMatchLink(getHyperlink(H175))</f>
        <v>http://www.dailygammon.com/bg/game/4998970/0/list#end</v>
      </c>
    </row>
    <row r="176" spans="1:14" ht="29" hidden="1" x14ac:dyDescent="0.35">
      <c r="A176" s="51" t="s">
        <v>117</v>
      </c>
      <c r="B176" s="52" t="s">
        <v>113</v>
      </c>
      <c r="C176" s="53">
        <v>0.95416666666666661</v>
      </c>
      <c r="D176" s="54">
        <v>10.75</v>
      </c>
      <c r="E176" s="55" t="s">
        <v>1</v>
      </c>
      <c r="F176" s="55">
        <v>11</v>
      </c>
      <c r="G176" s="56" t="s">
        <v>60</v>
      </c>
      <c r="H176" s="57" t="s">
        <v>76</v>
      </c>
      <c r="I176" s="56" t="s">
        <v>58</v>
      </c>
      <c r="J176" t="str">
        <f t="shared" si="20"/>
        <v>Zenswang vs. Mattias Roos</v>
      </c>
      <c r="K176" t="str">
        <f t="shared" si="21"/>
        <v>Zenswang</v>
      </c>
      <c r="L176" t="str">
        <f t="shared" si="22"/>
        <v>Mattias Roos</v>
      </c>
      <c r="M176" t="b">
        <f t="shared" si="23"/>
        <v>0</v>
      </c>
      <c r="N176" t="str">
        <f>harmoniseMatchLink(getHyperlink(H176))</f>
        <v>http://www.dailygammon.com/bg/game/4999436/0/list#end</v>
      </c>
    </row>
    <row r="177" spans="1:14" ht="29" x14ac:dyDescent="0.35">
      <c r="A177" s="51" t="s">
        <v>100</v>
      </c>
      <c r="B177" s="52" t="s">
        <v>113</v>
      </c>
      <c r="C177" s="55" t="s">
        <v>83</v>
      </c>
      <c r="D177" s="54">
        <v>10.75</v>
      </c>
      <c r="E177" s="55" t="s">
        <v>1</v>
      </c>
      <c r="F177" s="55">
        <v>11</v>
      </c>
      <c r="G177" s="56" t="s">
        <v>60</v>
      </c>
      <c r="H177" s="57" t="s">
        <v>76</v>
      </c>
      <c r="I177" s="56" t="s">
        <v>115</v>
      </c>
      <c r="J177" t="str">
        <f t="shared" si="20"/>
        <v>Zenswang vs. phinneas</v>
      </c>
      <c r="K177" t="str">
        <f t="shared" si="21"/>
        <v>Zenswang</v>
      </c>
      <c r="L177" t="str">
        <f t="shared" si="22"/>
        <v>phinneas</v>
      </c>
      <c r="M177" t="b">
        <f t="shared" si="23"/>
        <v>0</v>
      </c>
      <c r="N177" t="str">
        <f>harmoniseMatchLink(getHyperlink(H177))</f>
        <v>http://www.dailygammon.com/bg/game/4998609/0/list#end</v>
      </c>
    </row>
    <row r="178" spans="1:14" ht="29" hidden="1" x14ac:dyDescent="0.35">
      <c r="A178" s="51" t="s">
        <v>101</v>
      </c>
      <c r="B178" s="52" t="s">
        <v>113</v>
      </c>
      <c r="C178" s="53">
        <v>0.9506944444444444</v>
      </c>
      <c r="D178" s="54">
        <v>10.708333333333334</v>
      </c>
      <c r="E178" s="55" t="s">
        <v>1</v>
      </c>
      <c r="F178" s="55">
        <v>11</v>
      </c>
      <c r="G178" s="56" t="s">
        <v>60</v>
      </c>
      <c r="H178" s="57" t="s">
        <v>76</v>
      </c>
      <c r="I178" s="56" t="s">
        <v>59</v>
      </c>
      <c r="J178" t="str">
        <f t="shared" si="20"/>
        <v>Zenswang vs. Sandr</v>
      </c>
      <c r="K178" t="str">
        <f t="shared" si="21"/>
        <v>Zenswang</v>
      </c>
      <c r="L178" t="str">
        <f t="shared" si="22"/>
        <v>Sandr</v>
      </c>
      <c r="M178" t="b">
        <f t="shared" si="23"/>
        <v>0</v>
      </c>
      <c r="N178" t="str">
        <f>harmoniseMatchLink(getHyperlink(H178))</f>
        <v>http://www.dailygammon.com/bg/game/4998765/0/list#end</v>
      </c>
    </row>
    <row r="179" spans="1:14" ht="29" hidden="1" x14ac:dyDescent="0.35">
      <c r="A179" s="51" t="s">
        <v>151</v>
      </c>
      <c r="B179" s="52" t="s">
        <v>113</v>
      </c>
      <c r="C179" s="55" t="s">
        <v>83</v>
      </c>
      <c r="D179" s="54">
        <v>10.708333333333334</v>
      </c>
      <c r="E179" s="55" t="s">
        <v>1</v>
      </c>
      <c r="F179" s="55">
        <v>11</v>
      </c>
      <c r="G179" s="56" t="s">
        <v>60</v>
      </c>
      <c r="H179" s="57" t="s">
        <v>76</v>
      </c>
      <c r="I179" s="56" t="s">
        <v>114</v>
      </c>
      <c r="J179" t="str">
        <f t="shared" si="20"/>
        <v>Zenswang vs. skonaman</v>
      </c>
      <c r="K179" t="str">
        <f t="shared" si="21"/>
        <v>Zenswang</v>
      </c>
      <c r="L179" t="str">
        <f t="shared" si="22"/>
        <v>skonaman</v>
      </c>
      <c r="M179" t="b">
        <f t="shared" si="23"/>
        <v>0</v>
      </c>
      <c r="N179" t="str">
        <f>harmoniseMatchLink(getHyperlink(H179))</f>
        <v>http://www.dailygammon.com/bg/game/4999119/0/list#end</v>
      </c>
    </row>
    <row r="180" spans="1:14" ht="29" hidden="1" x14ac:dyDescent="0.35">
      <c r="A180" s="51" t="s">
        <v>92</v>
      </c>
      <c r="B180" s="57" t="s">
        <v>135</v>
      </c>
      <c r="C180" s="53">
        <v>0.79652777777777783</v>
      </c>
      <c r="D180" s="54">
        <v>9.1666666666666661</v>
      </c>
      <c r="E180" s="58">
        <v>45413</v>
      </c>
      <c r="F180" s="55">
        <v>5</v>
      </c>
      <c r="G180" s="56" t="s">
        <v>136</v>
      </c>
      <c r="H180" s="57" t="s">
        <v>76</v>
      </c>
      <c r="I180" s="56" t="s">
        <v>55</v>
      </c>
      <c r="J180" t="str">
        <f t="shared" si="20"/>
        <v>Cafeplayer vs. bonobo</v>
      </c>
      <c r="K180" t="str">
        <f t="shared" si="21"/>
        <v>Cafeplayer</v>
      </c>
      <c r="L180" t="str">
        <f t="shared" si="22"/>
        <v>bonobo</v>
      </c>
      <c r="M180" t="b">
        <f t="shared" si="23"/>
        <v>1</v>
      </c>
      <c r="N180" t="str">
        <f>harmoniseMatchLink(getHyperlink(H180))</f>
        <v>http://www.dailygammon.com/bg/game/4998908/0/list#end</v>
      </c>
    </row>
    <row r="181" spans="1:14" ht="43.5" hidden="1" x14ac:dyDescent="0.35">
      <c r="A181" s="51" t="s">
        <v>95</v>
      </c>
      <c r="B181" s="57" t="s">
        <v>133</v>
      </c>
      <c r="C181" s="55" t="s">
        <v>83</v>
      </c>
      <c r="D181" s="54">
        <v>11.25</v>
      </c>
      <c r="E181" s="58">
        <v>45383</v>
      </c>
      <c r="F181" s="55">
        <v>7</v>
      </c>
      <c r="G181" s="56" t="s">
        <v>134</v>
      </c>
      <c r="H181" s="57" t="s">
        <v>76</v>
      </c>
      <c r="I181" s="56" t="s">
        <v>55</v>
      </c>
      <c r="J181" t="str">
        <f t="shared" si="20"/>
        <v>Cafeplayer vs. BDGammon</v>
      </c>
      <c r="K181" t="str">
        <f t="shared" si="21"/>
        <v>Cafeplayer</v>
      </c>
      <c r="L181" t="str">
        <f t="shared" si="22"/>
        <v>BDGammon</v>
      </c>
      <c r="M181" t="b">
        <f t="shared" si="23"/>
        <v>1</v>
      </c>
      <c r="N181" t="str">
        <f>harmoniseMatchLink(getHyperlink(H181))</f>
        <v>http://www.dailygammon.com/bg/game/4998826/0/list#end</v>
      </c>
    </row>
    <row r="182" spans="1:14" ht="43.5" hidden="1" x14ac:dyDescent="0.35">
      <c r="A182" s="51" t="s">
        <v>112</v>
      </c>
      <c r="B182" s="57" t="s">
        <v>152</v>
      </c>
      <c r="C182" s="55" t="s">
        <v>83</v>
      </c>
      <c r="D182" s="54">
        <v>14.629166666666668</v>
      </c>
      <c r="E182" s="58">
        <v>45384</v>
      </c>
      <c r="F182" s="55">
        <v>15</v>
      </c>
      <c r="G182" s="56" t="s">
        <v>153</v>
      </c>
      <c r="H182" s="57" t="s">
        <v>76</v>
      </c>
      <c r="I182" s="56" t="s">
        <v>56</v>
      </c>
      <c r="J182" t="str">
        <f t="shared" si="20"/>
        <v>dzsobacsi vs. Klaus Schicks</v>
      </c>
      <c r="K182" t="str">
        <f t="shared" si="21"/>
        <v>dzsobacsi</v>
      </c>
      <c r="L182" t="str">
        <f t="shared" si="22"/>
        <v>Klaus Schicks</v>
      </c>
      <c r="M182" t="b">
        <f t="shared" si="23"/>
        <v>1</v>
      </c>
      <c r="N182" t="str">
        <f>harmoniseMatchLink(getHyperlink(H182))</f>
        <v>http://www.dailygammon.com/bg/game/4999887/0/list#end</v>
      </c>
    </row>
    <row r="183" spans="1:14" ht="43.5" x14ac:dyDescent="0.35">
      <c r="A183" s="51" t="s">
        <v>89</v>
      </c>
      <c r="B183" s="57" t="s">
        <v>154</v>
      </c>
      <c r="C183" s="55" t="s">
        <v>83</v>
      </c>
      <c r="D183" s="54">
        <v>10.541666666666666</v>
      </c>
      <c r="E183" s="58">
        <v>45383</v>
      </c>
      <c r="F183" s="55">
        <v>15</v>
      </c>
      <c r="G183" s="56" t="s">
        <v>155</v>
      </c>
      <c r="H183" s="57" t="s">
        <v>76</v>
      </c>
      <c r="I183" s="56" t="s">
        <v>115</v>
      </c>
      <c r="J183" t="str">
        <f t="shared" si="20"/>
        <v>CovGammon vs. phinneas</v>
      </c>
      <c r="K183" t="str">
        <f t="shared" si="21"/>
        <v>CovGammon</v>
      </c>
      <c r="L183" t="str">
        <f t="shared" si="22"/>
        <v>phinneas</v>
      </c>
      <c r="M183" t="b">
        <f t="shared" si="23"/>
        <v>0</v>
      </c>
      <c r="N183" t="str">
        <f>harmoniseMatchLink(getHyperlink(H183))</f>
        <v>http://www.dailygammon.com/bg/game/4999083/0/list#end</v>
      </c>
    </row>
    <row r="184" spans="1:14" ht="29" hidden="1" x14ac:dyDescent="0.35">
      <c r="A184" s="51" t="s">
        <v>93</v>
      </c>
      <c r="B184" s="57" t="s">
        <v>156</v>
      </c>
      <c r="C184" s="55" t="s">
        <v>83</v>
      </c>
      <c r="D184" s="54">
        <v>10.583333333333334</v>
      </c>
      <c r="E184" s="58">
        <v>45444</v>
      </c>
      <c r="F184" s="55">
        <v>21</v>
      </c>
      <c r="G184" s="56" t="s">
        <v>155</v>
      </c>
      <c r="H184" s="57" t="s">
        <v>76</v>
      </c>
      <c r="I184" s="56" t="s">
        <v>115</v>
      </c>
      <c r="J184" t="str">
        <f t="shared" si="20"/>
        <v>phinneas vs. CovGammon</v>
      </c>
      <c r="K184" t="str">
        <f t="shared" si="21"/>
        <v>phinneas</v>
      </c>
      <c r="L184" t="str">
        <f t="shared" si="22"/>
        <v>CovGammon</v>
      </c>
      <c r="M184" t="b">
        <f t="shared" si="23"/>
        <v>1</v>
      </c>
      <c r="N184" t="str">
        <f>harmoniseMatchLink(getHyperlink(H184))</f>
        <v>http://www.dailygammon.com/bg/game/4999491/0/list#end</v>
      </c>
    </row>
    <row r="185" spans="1:14" ht="29" hidden="1" x14ac:dyDescent="0.35">
      <c r="A185" s="51" t="s">
        <v>118</v>
      </c>
      <c r="B185" s="57" t="s">
        <v>137</v>
      </c>
      <c r="C185" s="55" t="s">
        <v>83</v>
      </c>
      <c r="D185" s="54">
        <v>19.583333333333332</v>
      </c>
      <c r="E185" s="58">
        <v>45416</v>
      </c>
      <c r="F185" s="55">
        <v>3</v>
      </c>
      <c r="G185" s="56" t="s">
        <v>138</v>
      </c>
      <c r="H185" s="57" t="s">
        <v>76</v>
      </c>
      <c r="I185" s="56" t="s">
        <v>55</v>
      </c>
      <c r="J185" t="str">
        <f t="shared" si="20"/>
        <v>wghunter vs. Cafeplayer</v>
      </c>
      <c r="K185" t="str">
        <f t="shared" si="21"/>
        <v>wghunter</v>
      </c>
      <c r="L185" t="str">
        <f t="shared" si="22"/>
        <v>Cafeplayer</v>
      </c>
      <c r="M185" t="b">
        <f t="shared" si="23"/>
        <v>0</v>
      </c>
      <c r="N185" t="str">
        <f>harmoniseMatchLink(getHyperlink(H185))</f>
        <v>http://www.dailygammon.com/bg/game/4999602/0/list#end</v>
      </c>
    </row>
    <row r="186" spans="1:14" ht="29" hidden="1" x14ac:dyDescent="0.35">
      <c r="A186" s="51" t="s">
        <v>131</v>
      </c>
      <c r="B186" s="57" t="s">
        <v>162</v>
      </c>
      <c r="C186" s="55" t="s">
        <v>83</v>
      </c>
      <c r="D186" s="54">
        <v>18.916666666666668</v>
      </c>
      <c r="E186" s="58">
        <v>45445</v>
      </c>
      <c r="F186" s="55">
        <v>3</v>
      </c>
      <c r="G186" s="56" t="s">
        <v>163</v>
      </c>
      <c r="H186" s="57" t="s">
        <v>76</v>
      </c>
      <c r="I186" s="56" t="s">
        <v>114</v>
      </c>
      <c r="J186" t="str">
        <f t="shared" si="20"/>
        <v>skonaman vs. geeimatree</v>
      </c>
      <c r="K186" t="str">
        <f t="shared" si="21"/>
        <v>skonaman</v>
      </c>
      <c r="L186" t="str">
        <f t="shared" si="22"/>
        <v>geeimatree</v>
      </c>
      <c r="M186" t="b">
        <f t="shared" si="23"/>
        <v>1</v>
      </c>
      <c r="N186" t="str">
        <f>harmoniseMatchLink(getHyperlink(H186))</f>
        <v>http://www.dailygammon.com/bg/game/4999627/0/list#end</v>
      </c>
    </row>
    <row r="187" spans="1:14" ht="43.5" hidden="1" x14ac:dyDescent="0.35">
      <c r="A187" s="51" t="s">
        <v>139</v>
      </c>
      <c r="B187" s="57" t="s">
        <v>157</v>
      </c>
      <c r="C187" s="54">
        <v>1.8923611111111109</v>
      </c>
      <c r="D187" s="54">
        <v>10.416666666666666</v>
      </c>
      <c r="E187" s="58">
        <v>45447</v>
      </c>
      <c r="F187" s="55">
        <v>5</v>
      </c>
      <c r="G187" s="56" t="s">
        <v>158</v>
      </c>
      <c r="H187" s="57" t="s">
        <v>76</v>
      </c>
      <c r="I187" s="56" t="s">
        <v>59</v>
      </c>
      <c r="J187" t="str">
        <f t="shared" si="20"/>
        <v>E pluribus unum vs. Sandr</v>
      </c>
      <c r="K187" t="str">
        <f t="shared" si="21"/>
        <v>E pluribus unum</v>
      </c>
      <c r="L187" t="str">
        <f t="shared" si="22"/>
        <v>Sandr</v>
      </c>
      <c r="M187" t="b">
        <f t="shared" si="23"/>
        <v>0</v>
      </c>
      <c r="N187" t="str">
        <f>harmoniseMatchLink(getHyperlink(H187))</f>
        <v>http://www.dailygammon.com/bg/game/4999363/0/list#end</v>
      </c>
    </row>
    <row r="188" spans="1:14" ht="43.5" hidden="1" x14ac:dyDescent="0.35">
      <c r="A188" s="51" t="s">
        <v>148</v>
      </c>
      <c r="B188" s="57" t="s">
        <v>149</v>
      </c>
      <c r="C188" s="54">
        <v>2.8520833333333333</v>
      </c>
      <c r="D188" s="54">
        <v>10.416666666666666</v>
      </c>
      <c r="E188" s="58">
        <v>45415</v>
      </c>
      <c r="F188" s="55">
        <v>5</v>
      </c>
      <c r="G188" s="56" t="s">
        <v>150</v>
      </c>
      <c r="H188" s="57" t="s">
        <v>76</v>
      </c>
      <c r="I188" s="56" t="s">
        <v>55</v>
      </c>
      <c r="J188" t="str">
        <f t="shared" si="20"/>
        <v>AntiDentite vs. Cafeplayer</v>
      </c>
      <c r="K188" t="str">
        <f t="shared" si="21"/>
        <v>AntiDentite</v>
      </c>
      <c r="L188" t="str">
        <f t="shared" si="22"/>
        <v>Cafeplayer</v>
      </c>
      <c r="M188" t="b">
        <f t="shared" si="23"/>
        <v>0</v>
      </c>
      <c r="N188" t="str">
        <f>harmoniseMatchLink(getHyperlink(H188))</f>
        <v>http://www.dailygammon.com/bg/game/5000004/0/list#end</v>
      </c>
    </row>
  </sheetData>
  <autoFilter ref="A1:N188" xr:uid="{41D8C027-6356-4657-A94D-ECBE85E779D2}">
    <filterColumn colId="11">
      <filters>
        <filter val="phinneas"/>
      </filters>
    </filterColumn>
    <sortState xmlns:xlrd2="http://schemas.microsoft.com/office/spreadsheetml/2017/richdata2" ref="A2:N115">
      <sortCondition ref="B2:B115"/>
      <sortCondition descending="1" ref="M2:M115"/>
      <sortCondition ref="K2:K115"/>
      <sortCondition ref="L2:L115"/>
    </sortState>
  </autoFilter>
  <sortState xmlns:xlrd2="http://schemas.microsoft.com/office/spreadsheetml/2017/richdata2" ref="A2:N188">
    <sortCondition ref="B2:B188"/>
    <sortCondition descending="1" ref="M2:M188"/>
    <sortCondition ref="K2:K188"/>
    <sortCondition ref="L2:L188"/>
  </sortState>
  <hyperlinks>
    <hyperlink ref="G171" r:id="rId1" display="http://www.dailygammon.com/bg/user/38369" xr:uid="{A44F7FF8-06C1-4D7C-B820-2FD2A7CA82A0}"/>
    <hyperlink ref="H171" r:id="rId2" display="http://www.dailygammon.com/bg/game/4998604/1/list" xr:uid="{142CC8D1-DD6A-403F-B146-96C1D4957A87}"/>
    <hyperlink ref="G5" r:id="rId3" display="http://www.dailygammon.com/bg/user/31655" xr:uid="{EBD4589B-27F6-4F9E-B20D-8533169F38DF}"/>
    <hyperlink ref="H5" r:id="rId4" display="http://www.dailygammon.com/bg/game/4999236/0/list" xr:uid="{7F19ADFF-A618-4FC1-A785-9C4A0C42430B}"/>
    <hyperlink ref="G162" r:id="rId5" display="http://www.dailygammon.com/bg/user/28783" xr:uid="{BAE9535F-437B-4B51-8611-08DF80EDE5BB}"/>
    <hyperlink ref="H162" r:id="rId6" display="http://www.dailygammon.com/bg/game/4999240/1/list" xr:uid="{68D49C1A-283B-4800-A475-58262B311739}"/>
    <hyperlink ref="G144" r:id="rId7" display="http://www.dailygammon.com/bg/user/21605" xr:uid="{979AD6A0-B963-4F22-B11D-09C29FE28EE9}"/>
    <hyperlink ref="H144" r:id="rId8" display="http://www.dailygammon.com/bg/game/4999241/1/list" xr:uid="{F4F1F82A-10BF-4385-B853-BF6E7B3AE8D5}"/>
    <hyperlink ref="G153" r:id="rId9" display="http://www.dailygammon.com/bg/user/31517" xr:uid="{4D085401-5B13-40E3-BBBC-02CE3BA3E8CD}"/>
    <hyperlink ref="H153" r:id="rId10" display="http://www.dailygammon.com/bg/game/4999242/1/list" xr:uid="{8DD9555C-6EDF-4556-B2B1-ED590EA45422}"/>
    <hyperlink ref="G126" r:id="rId11" display="http://www.dailygammon.com/bg/user/31655" xr:uid="{9EA2C833-2F2F-40C4-91B3-8948BED7773E}"/>
    <hyperlink ref="H126" r:id="rId12" display="http://www.dailygammon.com/bg/game/4999243/1/list" xr:uid="{602A76FF-948C-44F0-BB22-EF89E6CABD3E}"/>
    <hyperlink ref="G7" r:id="rId13" display="http://www.dailygammon.com/bg/user/21605" xr:uid="{8660D8DB-C01C-4E4D-A942-B9AD77DA6C20}"/>
    <hyperlink ref="H7" r:id="rId14" display="http://www.dailygammon.com/bg/game/4999244/0/list" xr:uid="{7F2334F7-B187-4421-9BAA-A6C40D2E2F89}"/>
    <hyperlink ref="G9" r:id="rId15" display="http://www.dailygammon.com/bg/user/28783" xr:uid="{7761FED2-0D8A-45D0-9667-D54A93E75F6C}"/>
    <hyperlink ref="H9" r:id="rId16" display="http://www.dailygammon.com/bg/game/4999247/0/list" xr:uid="{615AED09-15CF-452B-AFE8-5F50DB653CEE}"/>
    <hyperlink ref="G10" r:id="rId17" display="http://www.dailygammon.com/bg/user/38369" xr:uid="{7D118FB9-2C10-4E94-AA49-3DA4346DB859}"/>
    <hyperlink ref="H10" r:id="rId18" display="http://www.dailygammon.com/bg/game/4999248/0/list" xr:uid="{AD7DBACC-934A-4C2B-B641-C399C7A74D0D}"/>
    <hyperlink ref="G2" r:id="rId19" display="http://www.dailygammon.com/bg/user/8719" xr:uid="{2391F608-C414-41B4-AD42-C0BB6D2A3ADF}"/>
    <hyperlink ref="H2" r:id="rId20" display="http://www.dailygammon.com/bg/game/4999255/0/list" xr:uid="{10598005-578F-4C2B-8DFD-9ADC44820B77}"/>
    <hyperlink ref="G8" r:id="rId21" display="http://www.dailygammon.com/bg/user/31517" xr:uid="{EA13E8ED-7253-4CF6-ACCB-D62FDC242B26}"/>
    <hyperlink ref="H8" r:id="rId22" display="http://www.dailygammon.com/bg/game/4999303/0/list" xr:uid="{C5749FD9-0F1B-487F-8F53-E4D51E7C06C3}"/>
    <hyperlink ref="G4" r:id="rId23" display="http://www.dailygammon.com/bg/user/31952" xr:uid="{C8E66B82-7A6B-4E41-9AAB-FD5EF5542DC8}"/>
    <hyperlink ref="H4" r:id="rId24" display="http://www.dailygammon.com/bg/game/4999316/0/list" xr:uid="{EAF47EDC-EC69-4729-ABB0-1859E192400C}"/>
    <hyperlink ref="G6" r:id="rId25" display="http://www.dailygammon.com/bg/user/33344" xr:uid="{554065E7-22C4-48FA-854F-3043BED1BB7D}"/>
    <hyperlink ref="H6" r:id="rId26" display="http://www.dailygammon.com/bg/game/4999448/0/list" xr:uid="{A8038E5D-1958-45F6-BEC6-E96909A866AC}"/>
    <hyperlink ref="G3" r:id="rId27" display="http://www.dailygammon.com/bg/user/34026" xr:uid="{E9440931-DD2D-4048-86C0-4C3F5F43BFF3}"/>
    <hyperlink ref="H3" r:id="rId28" display="http://www.dailygammon.com/bg/game/4999613/0/list" xr:uid="{1FC951A2-637C-46B4-BDC9-1CE801EF4B38}"/>
    <hyperlink ref="G109" r:id="rId29" display="http://www.dailygammon.com/bg/user/34026" xr:uid="{593B6DB1-E1B7-4699-8D71-A81218FB612C}"/>
    <hyperlink ref="H109" r:id="rId30" display="http://www.dailygammon.com/bg/game/4999724/1/list" xr:uid="{E285E1CE-B4D9-4068-A3D8-BC2913806D48}"/>
    <hyperlink ref="G100" r:id="rId31" display="http://www.dailygammon.com/bg/user/8719" xr:uid="{C3525820-C9A3-4A8D-95A0-8DC0DE8C51E5}"/>
    <hyperlink ref="H100" r:id="rId32" display="http://www.dailygammon.com/bg/game/4999725/1/list" xr:uid="{A5E2DFD1-9825-4953-9613-17155AD12931}"/>
    <hyperlink ref="G135" r:id="rId33" display="http://www.dailygammon.com/bg/user/33344" xr:uid="{C1C34243-1E73-4618-B64F-674931B3265A}"/>
    <hyperlink ref="H135" r:id="rId34" display="http://www.dailygammon.com/bg/game/4999726/1/list" xr:uid="{49373707-77D5-45AD-AEB9-EED9B91E3A06}"/>
    <hyperlink ref="G118" r:id="rId35" display="http://www.dailygammon.com/bg/user/31952" xr:uid="{A98C3E09-3ED1-45EE-BCC4-CC6084680F7F}"/>
    <hyperlink ref="H118" r:id="rId36" display="http://www.dailygammon.com/bg/game/5000029/1/list" xr:uid="{B5C15BD0-7A69-4EC8-82A0-6B5A2A11834D}"/>
    <hyperlink ref="G154" r:id="rId37" display="http://www.dailygammon.com/bg/user/31517" xr:uid="{CC730510-05CE-4655-9B2A-A08EB12A8A49}"/>
    <hyperlink ref="H154" r:id="rId38" display="http://www.dailygammon.com/bg/game/4998857/1/list" xr:uid="{8282D422-3AB7-4C66-81AF-497D74FB43DB}"/>
    <hyperlink ref="G172" r:id="rId39" display="http://www.dailygammon.com/bg/user/38369" xr:uid="{22893F01-018F-4026-AA5D-0CDDC7EFDBE0}"/>
    <hyperlink ref="H172" r:id="rId40" display="http://www.dailygammon.com/bg/game/4998858/1/list" xr:uid="{B6D471AD-28D1-40DB-9447-696B1869BE8E}"/>
    <hyperlink ref="G145" r:id="rId41" display="http://www.dailygammon.com/bg/user/21605" xr:uid="{5ABC4987-E92A-4613-B431-C9EC3A22DCB5}"/>
    <hyperlink ref="H145" r:id="rId42" display="http://www.dailygammon.com/bg/game/4998859/1/list" xr:uid="{53383BD3-F42A-4977-8DA6-6007FDE52E74}"/>
    <hyperlink ref="G127" r:id="rId43" display="http://www.dailygammon.com/bg/user/31655" xr:uid="{056CF37A-5F3A-4FB3-92FA-F23F021F1CA7}"/>
    <hyperlink ref="H127" r:id="rId44" display="http://www.dailygammon.com/bg/game/4999073/1/list" xr:uid="{BA65074B-0062-4D83-B746-1772340D9DC4}"/>
    <hyperlink ref="G163" r:id="rId45" display="http://www.dailygammon.com/bg/user/28783" xr:uid="{39689B82-78C4-4FA0-BEE5-9A8A21225EC3}"/>
    <hyperlink ref="H163" r:id="rId46" display="http://www.dailygammon.com/bg/game/4999172/1/list" xr:uid="{C28296D4-FF54-429B-B5E5-0A9189981A1E}"/>
    <hyperlink ref="G91" r:id="rId47" display="http://www.dailygammon.com/bg/user/12968" xr:uid="{44CFC871-3354-411B-8C1E-F4E716A45A3E}"/>
    <hyperlink ref="H91" r:id="rId48" display="http://www.dailygammon.com/bg/game/4999255/1/list" xr:uid="{3B4E08AA-F9A6-4316-8853-FC88570EF20D}"/>
    <hyperlink ref="G18" r:id="rId49" display="http://www.dailygammon.com/bg/user/28783" xr:uid="{D18594D1-AF06-4F25-8A4C-979B88790BDF}"/>
    <hyperlink ref="H18" r:id="rId50" display="http://www.dailygammon.com/bg/game/4999284/0/list" xr:uid="{3B15A65E-4449-460C-B353-AD843C748994}"/>
    <hyperlink ref="G14" r:id="rId51" display="http://www.dailygammon.com/bg/user/31655" xr:uid="{B4F2383E-C608-4B62-86F1-EFD97E652974}"/>
    <hyperlink ref="H14" r:id="rId52" display="http://www.dailygammon.com/bg/game/4999297/0/list" xr:uid="{8C298A34-32F8-409F-AEE5-59E1E5815BD9}"/>
    <hyperlink ref="G17" r:id="rId53" display="http://www.dailygammon.com/bg/user/31517" xr:uid="{6BC82313-547A-4ACB-8394-647AE2A7EEFD}"/>
    <hyperlink ref="H17" r:id="rId54" display="http://www.dailygammon.com/bg/game/4999301/0/list" xr:uid="{DF6B2483-4058-453F-AF5F-57B098DE1C7F}"/>
    <hyperlink ref="G16" r:id="rId55" display="http://www.dailygammon.com/bg/user/21605" xr:uid="{73076326-F739-459B-83D7-B7E7844E2CEB}"/>
    <hyperlink ref="H16" r:id="rId56" display="http://www.dailygammon.com/bg/game/4999314/0/list" xr:uid="{3D814A48-4515-4E0A-915E-B511B27671EA}"/>
    <hyperlink ref="G13" r:id="rId57" display="http://www.dailygammon.com/bg/user/31952" xr:uid="{7211BF7F-4BA3-466B-B650-01A9635D5083}"/>
    <hyperlink ref="H13" r:id="rId58" display="http://www.dailygammon.com/bg/game/4999317/0/list" xr:uid="{BAE5C018-C7AC-4312-A6CF-25D87120CB2C}"/>
    <hyperlink ref="G19" r:id="rId59" display="http://www.dailygammon.com/bg/user/38369" xr:uid="{52A87A94-CC15-4A6E-AECD-573FE6D013FE}"/>
    <hyperlink ref="H19" r:id="rId60" display="http://www.dailygammon.com/bg/game/4999393/0/list" xr:uid="{014B4B2B-524C-42BF-BFBC-F0873D40DA21}"/>
    <hyperlink ref="G15" r:id="rId61" display="http://www.dailygammon.com/bg/user/33344" xr:uid="{4127E6D8-DA7E-4694-ACC7-F13BDC64F6D4}"/>
    <hyperlink ref="H15" r:id="rId62" display="http://www.dailygammon.com/bg/game/4999446/0/list" xr:uid="{C574E098-797B-4ACD-A088-CF219478BC1C}"/>
    <hyperlink ref="G136" r:id="rId63" display="http://www.dailygammon.com/bg/user/33344" xr:uid="{BDC15908-AF01-4911-B6A8-FF7328E7ACAD}"/>
    <hyperlink ref="H136" r:id="rId64" display="http://www.dailygammon.com/bg/game/4999455/1/list" xr:uid="{E9538BF4-DA71-4E72-B511-D202363DA5E8}"/>
    <hyperlink ref="G12" r:id="rId65" display="http://www.dailygammon.com/bg/user/34026" xr:uid="{05FE1869-B7E7-42E8-85FF-9E6AA886245F}"/>
    <hyperlink ref="H12" r:id="rId66" display="http://www.dailygammon.com/bg/game/4999614/0/list" xr:uid="{056E7743-9C45-45D0-A409-A54F877FBB28}"/>
    <hyperlink ref="G11" r:id="rId67" display="http://www.dailygammon.com/bg/user/12968" xr:uid="{D72B74D3-0D9B-45FB-9B6D-FDF677F8CE81}"/>
    <hyperlink ref="H11" r:id="rId68" display="http://www.dailygammon.com/bg/game/4999725/0/list" xr:uid="{07D1D66C-7CB9-42F8-B116-3B9C8A439127}"/>
    <hyperlink ref="G110" r:id="rId69" display="http://www.dailygammon.com/bg/user/34026" xr:uid="{11DA930A-1FD3-4802-920E-3F8C5FF27E27}"/>
    <hyperlink ref="H110" r:id="rId70" display="http://www.dailygammon.com/bg/game/4999736/1/list" xr:uid="{FEEC5A96-EC18-479E-B802-A7E4177D63CD}"/>
    <hyperlink ref="G119" r:id="rId71" display="http://www.dailygammon.com/bg/user/31952" xr:uid="{FB927241-A88E-4F21-9BB3-8B8033F68C7A}"/>
    <hyperlink ref="H119" r:id="rId72" display="http://www.dailygammon.com/bg/game/4999997/1/list" xr:uid="{3EE5F88A-9D61-4716-84DC-E6A426E84B83}"/>
    <hyperlink ref="I20:I37" r:id="rId73" display="http://www.dailygammon.com/bg/user/8719" xr:uid="{F60C81A9-490A-45E1-9D3F-1EE625CCDD16}"/>
    <hyperlink ref="G173" r:id="rId74" display="http://www.dailygammon.com/bg/user/38369" xr:uid="{492113BE-338D-4A03-8D0E-BA121A4383C6}"/>
    <hyperlink ref="H173" r:id="rId75" display="http://www.dailygammon.com/bg/game/4998618/1/list" xr:uid="{2A72E88E-1699-413C-8C19-2F18505FEE8B}"/>
    <hyperlink ref="G146" r:id="rId76" display="http://www.dailygammon.com/bg/user/21605" xr:uid="{9DBC2135-3D92-4928-81D7-9223E4AB2A54}"/>
    <hyperlink ref="H146" r:id="rId77" display="http://www.dailygammon.com/bg/game/4998619/1/list" xr:uid="{BA3118D0-66B6-4FE3-B589-9F9BEE39FCAC}"/>
    <hyperlink ref="B181" r:id="rId78" display="http://www.dailygammon.com/bg/event/104612" xr:uid="{90A8C3D8-BFB9-40FC-8654-21083A4E7D01}"/>
    <hyperlink ref="G181" r:id="rId79" display="http://www.dailygammon.com/bg/user/34182" xr:uid="{4857A7DC-B3C3-4156-A6DD-9FF7BAB492A0}"/>
    <hyperlink ref="H181" r:id="rId80" display="http://www.dailygammon.com/bg/game/4998826/0/list" xr:uid="{CDA69CF4-6940-4AEB-8708-DCB1CFDAA84A}"/>
    <hyperlink ref="B180" r:id="rId81" display="http://www.dailygammon.com/bg/event/104602" xr:uid="{8AEBFE14-4F0B-429F-8BD3-E5C7FE2FF355}"/>
    <hyperlink ref="G180" r:id="rId82" display="http://www.dailygammon.com/bg/user/23098" xr:uid="{EEC0F521-51D0-4603-BEEA-9551E65B11DF}"/>
    <hyperlink ref="H180" r:id="rId83" display="http://www.dailygammon.com/bg/game/4998908/0/list" xr:uid="{A42A21FB-6DCE-43C5-AF33-746AB3B46FD8}"/>
    <hyperlink ref="B185" r:id="rId84" display="http://www.dailygammon.com/bg/event/103149" xr:uid="{1FFD9CC0-06FF-4FC4-A535-FCFE4FA0B3DA}"/>
    <hyperlink ref="G185" r:id="rId85" display="http://www.dailygammon.com/bg/user/17732" xr:uid="{02AD8FC7-67BE-48BD-8582-9226D4FCE8E0}"/>
    <hyperlink ref="H185" r:id="rId86" display="http://www.dailygammon.com/bg/game/4999602/1/list" xr:uid="{A7C8FC82-E4FC-4BA3-89FB-EF0B417CC40D}"/>
    <hyperlink ref="G164" r:id="rId87" display="http://www.dailygammon.com/bg/user/28783" xr:uid="{3EDECBB5-6034-46C2-8AE0-4DEAA7F1283A}"/>
    <hyperlink ref="H164" r:id="rId88" display="http://www.dailygammon.com/bg/game/4999612/1/list" xr:uid="{2B3FB04B-429C-42F7-BDE4-349C31AE0BEC}"/>
    <hyperlink ref="G92" r:id="rId89" display="http://www.dailygammon.com/bg/user/12968" xr:uid="{A19F2AFE-7C5C-4D60-80EE-9EC90122AD49}"/>
    <hyperlink ref="H92" r:id="rId90" display="http://www.dailygammon.com/bg/game/4999613/1/list" xr:uid="{9563284C-0ABE-40AD-9EF5-B87A7954ABA2}"/>
    <hyperlink ref="G101" r:id="rId91" display="http://www.dailygammon.com/bg/user/8719" xr:uid="{9C066B14-3C8F-4CE2-8587-3CF565C53876}"/>
    <hyperlink ref="H101" r:id="rId92" display="http://www.dailygammon.com/bg/game/4999614/1/list" xr:uid="{725E620A-65C6-40B8-A902-7779ECF4CFB3}"/>
    <hyperlink ref="G155" r:id="rId93" display="http://www.dailygammon.com/bg/user/31517" xr:uid="{DD14AD0F-C8CF-41C6-B095-B10C3A8E2F22}"/>
    <hyperlink ref="H155" r:id="rId94" display="http://www.dailygammon.com/bg/game/4999615/1/list" xr:uid="{5135144C-B69B-4410-AAAF-76782E78594A}"/>
    <hyperlink ref="G128" r:id="rId95" display="http://www.dailygammon.com/bg/user/31655" xr:uid="{FF206A2E-7A7C-4E53-992B-E2311D0CA4C5}"/>
    <hyperlink ref="H128" r:id="rId96" display="http://www.dailygammon.com/bg/game/4999616/1/list" xr:uid="{BB5753C3-950D-4E20-A7EB-1A9F5C26E427}"/>
    <hyperlink ref="G137" r:id="rId97" display="http://www.dailygammon.com/bg/user/33344" xr:uid="{90A790DD-6F0C-4ED6-BBA1-411FF1FBCC3E}"/>
    <hyperlink ref="H137" r:id="rId98" display="http://www.dailygammon.com/bg/game/4999617/1/list" xr:uid="{DBBF01D5-4161-4E24-8468-2EE6E4A22894}"/>
    <hyperlink ref="G25" r:id="rId99" display="http://www.dailygammon.com/bg/user/21605" xr:uid="{55BE6F43-E7F1-41C6-8BCD-EFB3945F4773}"/>
    <hyperlink ref="H25" r:id="rId100" display="http://www.dailygammon.com/bg/game/4999646/0/list" xr:uid="{478ED28F-CABE-4376-9019-DDB1546B30EE}"/>
    <hyperlink ref="G28" r:id="rId101" display="http://www.dailygammon.com/bg/user/38369" xr:uid="{985C08F8-3B57-4F93-9BED-94C957C9CD46}"/>
    <hyperlink ref="H28" r:id="rId102" display="http://www.dailygammon.com/bg/game/4999660/0/list" xr:uid="{37F23F6D-692B-4A7E-94F2-40C2C7AB3AF4}"/>
    <hyperlink ref="G22" r:id="rId103" display="http://www.dailygammon.com/bg/user/31952" xr:uid="{E220CFCD-19F2-470F-B643-5540ED41913C}"/>
    <hyperlink ref="H22" r:id="rId104" display="http://www.dailygammon.com/bg/game/4999661/0/list" xr:uid="{24F64F29-7E4A-47E7-AF85-ECEC04326D8A}"/>
    <hyperlink ref="G23" r:id="rId105" display="http://www.dailygammon.com/bg/user/31655" xr:uid="{3759B063-EBC3-4699-B101-F3B43BBB7990}"/>
    <hyperlink ref="H23" r:id="rId106" display="http://www.dailygammon.com/bg/game/4999682/0/list" xr:uid="{7105D731-6C4B-4688-A67F-A4D9C16E592C}"/>
    <hyperlink ref="G27" r:id="rId107" display="http://www.dailygammon.com/bg/user/28783" xr:uid="{7FE01439-54FE-40AE-9F9E-1B34887F87F9}"/>
    <hyperlink ref="H27" r:id="rId108" display="http://www.dailygammon.com/bg/game/4999689/0/list" xr:uid="{1ED5336A-B0E3-4225-91DE-F0D50395CB67}"/>
    <hyperlink ref="G26" r:id="rId109" display="http://www.dailygammon.com/bg/user/31517" xr:uid="{3C34CA7C-2D50-4121-9A45-7BE03B81EFA8}"/>
    <hyperlink ref="H26" r:id="rId110" display="http://www.dailygammon.com/bg/game/4999714/0/list" xr:uid="{72A4D61B-0CAB-44C0-BFCA-7BDF8C3AE70C}"/>
    <hyperlink ref="G20" r:id="rId111" display="http://www.dailygammon.com/bg/user/12968" xr:uid="{1BDD999B-BAD1-4DF5-A9BC-E2C3391AE9B4}"/>
    <hyperlink ref="H20" r:id="rId112" display="http://www.dailygammon.com/bg/game/4999724/0/list" xr:uid="{51049F21-556A-4097-9477-CC067AA207F9}"/>
    <hyperlink ref="G21" r:id="rId113" display="http://www.dailygammon.com/bg/user/8719" xr:uid="{ED014AFA-4D65-4723-81F1-68E8848B941D}"/>
    <hyperlink ref="H21" r:id="rId114" display="http://www.dailygammon.com/bg/game/4999736/0/list" xr:uid="{60C33197-1DB9-4F27-8B66-D4E3134E7031}"/>
    <hyperlink ref="G24" r:id="rId115" display="http://www.dailygammon.com/bg/user/33344" xr:uid="{7DC785B8-F04D-4112-A833-80C53E9DB4D7}"/>
    <hyperlink ref="H24" r:id="rId116" display="http://www.dailygammon.com/bg/game/4999895/0/list" xr:uid="{B441705D-BBF9-4ACA-81B8-D780DAE878AA}"/>
    <hyperlink ref="B188" r:id="rId117" display="http://www.dailygammon.com/bg/event/104102" xr:uid="{DEEC971D-2E2A-4439-AD03-2D50DDFFC86F}"/>
    <hyperlink ref="G188" r:id="rId118" display="http://www.dailygammon.com/bg/user/40170" xr:uid="{38B68D8E-6379-40F5-B461-EFE8D72AD78D}"/>
    <hyperlink ref="H188" r:id="rId119" display="http://www.dailygammon.com/bg/game/5000004/1/list" xr:uid="{B853C3CD-DBF8-42A1-A0F7-A6D4F0EC39A3}"/>
    <hyperlink ref="G120" r:id="rId120" display="http://www.dailygammon.com/bg/user/31952" xr:uid="{36ECA7B5-5EC3-4DCF-9E23-27733DB434D1}"/>
    <hyperlink ref="H120" r:id="rId121" display="http://www.dailygammon.com/bg/game/5000049/1/list" xr:uid="{CDB5CECA-E279-432F-AE95-F98751998170}"/>
    <hyperlink ref="I38:I59" r:id="rId122" display="http://www.dailygammon.com/bg/user/34026" xr:uid="{714169C8-AFAC-46BB-8A7F-6DA52E9A2917}"/>
    <hyperlink ref="G174" r:id="rId123" display="http://www.dailygammon.com/bg/user/38369" xr:uid="{FFEAF71B-5F55-4A5E-ABF0-DFF28C42FD1E}"/>
    <hyperlink ref="H174" r:id="rId124" display="http://www.dailygammon.com/bg/game/4998694/1/list" xr:uid="{88C2D78A-C901-4163-90C1-1AEEA13622EB}"/>
    <hyperlink ref="G147" r:id="rId125" display="http://www.dailygammon.com/bg/user/21605" xr:uid="{A40027D7-47E9-472B-969E-C40C43A5F60A}"/>
    <hyperlink ref="H147" r:id="rId126" display="http://www.dailygammon.com/bg/game/4998695/1/list" xr:uid="{68CB119F-B635-45A4-A974-D3422FA8E99D}"/>
    <hyperlink ref="G156" r:id="rId127" display="http://www.dailygammon.com/bg/user/31517" xr:uid="{1DEC8473-F68F-4816-B802-DBA8C9AEB979}"/>
    <hyperlink ref="H156" r:id="rId128" display="http://www.dailygammon.com/bg/game/4998922/1/list" xr:uid="{F02719B2-CBD6-4509-B736-A01C367B0B92}"/>
    <hyperlink ref="G165" r:id="rId129" display="http://www.dailygammon.com/bg/user/28783" xr:uid="{ED880511-31B0-4621-A0DA-FAC5673A43DF}"/>
    <hyperlink ref="H165" r:id="rId130" display="http://www.dailygammon.com/bg/game/4999174/1/list" xr:uid="{9E57197F-19B3-4D79-A2BA-EAFBE71A32C9}"/>
    <hyperlink ref="G129" r:id="rId131" display="http://www.dailygammon.com/bg/user/31655" xr:uid="{7ECA8279-83DA-4AC2-99B0-928EFD12DB2D}"/>
    <hyperlink ref="H129" r:id="rId132" display="http://www.dailygammon.com/bg/game/4999175/1/list" xr:uid="{3F350D7A-C727-4875-ACC3-7AB85D014E6C}"/>
    <hyperlink ref="G93" r:id="rId133" display="http://www.dailygammon.com/bg/user/12968" xr:uid="{E28687C3-2FCF-4859-89CF-851E0C4B8FF5}"/>
    <hyperlink ref="H93" r:id="rId134" display="http://www.dailygammon.com/bg/game/4999316/1/list" xr:uid="{C24A136A-AFAD-446A-9A00-D5787E9EE647}"/>
    <hyperlink ref="G102" r:id="rId135" display="http://www.dailygammon.com/bg/user/8719" xr:uid="{5A9F621D-5C91-4EBB-8031-8BEF2C35DB0E}"/>
    <hyperlink ref="H102" r:id="rId136" display="http://www.dailygammon.com/bg/game/4999317/1/list" xr:uid="{033D6454-833E-4398-8FC1-042B0FB1073A}"/>
    <hyperlink ref="G111" r:id="rId137" display="http://www.dailygammon.com/bg/user/34026" xr:uid="{317A5FBC-64A9-447D-A1AC-856385972678}"/>
    <hyperlink ref="H111" r:id="rId138" display="http://www.dailygammon.com/bg/game/4999661/1/list" xr:uid="{DD31A299-9F11-49D6-945E-56B42F48BB49}"/>
    <hyperlink ref="G138" r:id="rId139" display="http://www.dailygammon.com/bg/user/33344" xr:uid="{61C36909-98B4-41EA-8191-A668772A460C}"/>
    <hyperlink ref="H138" r:id="rId140" display="http://www.dailygammon.com/bg/game/4999662/1/list" xr:uid="{10796F2D-AA16-4678-A6DD-A0A5244B1210}"/>
    <hyperlink ref="B182" r:id="rId141" display="http://www.dailygammon.com/bg/event/104061" xr:uid="{05B12928-9984-4F6A-9648-6BC4DEF1BEC6}"/>
    <hyperlink ref="G182" r:id="rId142" display="http://www.dailygammon.com/bg/user/31065" xr:uid="{10F00005-1A1D-41AA-828C-C097B157A3F6}"/>
    <hyperlink ref="H182" r:id="rId143" display="http://www.dailygammon.com/bg/game/4999887/0/list" xr:uid="{FE66BC8F-E56C-403F-9AB9-F8B136B33F4C}"/>
    <hyperlink ref="G34" r:id="rId144" display="http://www.dailygammon.com/bg/user/31517" xr:uid="{1F80E93A-97FD-4A2F-A090-7C7520BDFD7A}"/>
    <hyperlink ref="H34" r:id="rId145" display="http://www.dailygammon.com/bg/game/4999996/0/list" xr:uid="{A2A9D15B-75E2-4122-BB3E-E32BC217C3C7}"/>
    <hyperlink ref="G30" r:id="rId146" display="http://www.dailygammon.com/bg/user/8719" xr:uid="{A94896E3-5E74-4163-8F56-BE56ABAC98B3}"/>
    <hyperlink ref="H30" r:id="rId147" display="http://www.dailygammon.com/bg/game/4999997/0/list" xr:uid="{DDA91F87-2A44-4F1B-A2AA-5D13920F7D20}"/>
    <hyperlink ref="G36" r:id="rId148" display="http://www.dailygammon.com/bg/user/38369" xr:uid="{6B9F6E81-D0BE-4F07-92A0-476AAC096A42}"/>
    <hyperlink ref="H36" r:id="rId149" display="http://www.dailygammon.com/bg/game/5000001/0/list" xr:uid="{98A98651-CA93-413D-B11F-E8554363CBA6}"/>
    <hyperlink ref="G33" r:id="rId150" display="http://www.dailygammon.com/bg/user/33344" xr:uid="{E8E9A75B-543F-457A-BD30-8D62126A7CAA}"/>
    <hyperlink ref="H33" r:id="rId151" display="http://www.dailygammon.com/bg/game/5000002/0/list" xr:uid="{B37915B6-2148-485F-8CCC-3FC8324657F9}"/>
    <hyperlink ref="G32" r:id="rId152" display="http://www.dailygammon.com/bg/user/31655" xr:uid="{A6AFE2B5-CA36-449C-87CF-F0A44929E53F}"/>
    <hyperlink ref="H32" r:id="rId153" display="http://www.dailygammon.com/bg/game/5000015/0/list" xr:uid="{AF87F1F0-F4CD-4FC0-BE68-19598D5A9D94}"/>
    <hyperlink ref="G29" r:id="rId154" display="http://www.dailygammon.com/bg/user/12968" xr:uid="{385FA21D-4485-4CAD-A372-B5B50256BC0A}"/>
    <hyperlink ref="H29" r:id="rId155" display="http://www.dailygammon.com/bg/game/5000029/0/list" xr:uid="{3FEB388E-C5F9-4077-8C44-F65995474DC7}"/>
    <hyperlink ref="G31" r:id="rId156" display="http://www.dailygammon.com/bg/user/34026" xr:uid="{F31D81EF-AE22-4F32-8691-CD2F0991E93E}"/>
    <hyperlink ref="H31" r:id="rId157" display="http://www.dailygammon.com/bg/game/5000049/0/list" xr:uid="{27115418-C7E1-415F-82D5-92746CE45AC6}"/>
    <hyperlink ref="G35" r:id="rId158" display="http://www.dailygammon.com/bg/user/28783" xr:uid="{A9B91938-1137-47A6-AA68-9F79D63DBD6A}"/>
    <hyperlink ref="H35" r:id="rId159" display="http://www.dailygammon.com/bg/game/5000102/0/list" xr:uid="{FCD075BE-7DC1-4FF7-882F-1860CCDD52F8}"/>
    <hyperlink ref="I60:I77" r:id="rId160" display="http://www.dailygammon.com/bg/user/31952" xr:uid="{98C70E24-355E-4012-8932-93636C05E79C}"/>
    <hyperlink ref="G175" r:id="rId161" display="http://www.dailygammon.com/bg/user/38369" xr:uid="{C480B5FC-1D8E-4028-AAB3-E62242940C14}"/>
    <hyperlink ref="H175" r:id="rId162" display="http://www.dailygammon.com/bg/game/4998970/1/list" xr:uid="{7D516AF1-B9F4-421E-9D10-AABEFD439B80}"/>
    <hyperlink ref="G148" r:id="rId163" display="http://www.dailygammon.com/bg/user/21605" xr:uid="{67F93D27-C5D7-4521-8DC0-F99804F5EF12}"/>
    <hyperlink ref="H148" r:id="rId164" display="http://www.dailygammon.com/bg/game/4998971/1/list" xr:uid="{C10893E1-B57A-4FB4-889E-FED3A5B6454A}"/>
    <hyperlink ref="G157" r:id="rId165" display="http://www.dailygammon.com/bg/user/31517" xr:uid="{D6F019A2-DA83-425A-AD81-B11C318D8B75}"/>
    <hyperlink ref="H157" r:id="rId166" display="http://www.dailygammon.com/bg/game/4998972/1/list" xr:uid="{A85BBDC6-A14A-4846-B74F-DD092657DD73}"/>
    <hyperlink ref="G38" r:id="rId167" display="http://www.dailygammon.com/bg/user/8719" xr:uid="{6A77B6DE-9109-4FA6-B51F-3D46E43B869F}"/>
    <hyperlink ref="H38" r:id="rId168" display="http://www.dailygammon.com/bg/game/4999073/0/list" xr:uid="{0197FB44-9EB2-4D73-98A0-46FCC499E650}"/>
    <hyperlink ref="G44" r:id="rId169" display="http://www.dailygammon.com/bg/user/28783" xr:uid="{2F119A7A-E0E4-402F-9625-36313B5FD1F2}"/>
    <hyperlink ref="H44" r:id="rId170" display="http://www.dailygammon.com/bg/game/4999122/0/list" xr:uid="{365C7712-801D-4F93-9877-17590C7929EA}"/>
    <hyperlink ref="G42" r:id="rId171" display="http://www.dailygammon.com/bg/user/21605" xr:uid="{3C85C0A9-ADA9-47E1-B662-600F8C18EB5E}"/>
    <hyperlink ref="H42" r:id="rId172" display="http://www.dailygammon.com/bg/game/4999156/0/list" xr:uid="{955614FE-7114-489F-8827-992A4A8E525A}"/>
    <hyperlink ref="G40" r:id="rId173" display="http://www.dailygammon.com/bg/user/31952" xr:uid="{BF7A8A10-DA2E-4EDF-8F2A-FC8987D7D2E0}"/>
    <hyperlink ref="H40" r:id="rId174" display="http://www.dailygammon.com/bg/game/4999175/0/list" xr:uid="{4530F665-7134-4F96-BAD4-1C48AAA31A99}"/>
    <hyperlink ref="G45" r:id="rId175" display="http://www.dailygammon.com/bg/user/38369" xr:uid="{0A6D7A35-7117-411D-8F6E-8CE76B892B84}"/>
    <hyperlink ref="H45" r:id="rId176" display="http://www.dailygammon.com/bg/game/4999210/0/list" xr:uid="{87E8CE0B-EAC8-4C21-8DEF-77279EE241A7}"/>
    <hyperlink ref="G166" r:id="rId177" display="http://www.dailygammon.com/bg/user/28783" xr:uid="{140AD25B-5911-4AF1-88FE-C29EA444EF25}"/>
    <hyperlink ref="H166" r:id="rId178" display="http://www.dailygammon.com/bg/game/4999235/1/list" xr:uid="{B89B8738-12E4-4AAE-B111-BF23DF9D2A51}"/>
    <hyperlink ref="G94" r:id="rId179" display="http://www.dailygammon.com/bg/user/12968" xr:uid="{7A41C45C-217A-4B3C-B569-D961D1016153}"/>
    <hyperlink ref="H94" r:id="rId180" display="http://www.dailygammon.com/bg/game/4999236/1/list" xr:uid="{FF7A34D9-ED42-4885-B95A-0E3C4F9AFA21}"/>
    <hyperlink ref="G37" r:id="rId181" display="http://www.dailygammon.com/bg/user/12968" xr:uid="{A8D8F8BC-475F-4D13-8153-566B451F4811}"/>
    <hyperlink ref="H37" r:id="rId182" display="http://www.dailygammon.com/bg/game/4999243/0/list" xr:uid="{45FA79AF-BEB8-4D83-948C-0A9D4CE83951}"/>
    <hyperlink ref="G103" r:id="rId183" display="http://www.dailygammon.com/bg/user/8719" xr:uid="{664F40B4-C070-4BD5-8690-FD04C07988B7}"/>
    <hyperlink ref="H103" r:id="rId184" display="http://www.dailygammon.com/bg/game/4999297/1/list" xr:uid="{98FAE71F-E6E6-4974-898F-1DDD8A3C1069}"/>
    <hyperlink ref="G43" r:id="rId185" display="http://www.dailygammon.com/bg/user/31517" xr:uid="{9C88892D-F3FF-4369-A6E5-07CD29DE5C3E}"/>
    <hyperlink ref="H43" r:id="rId186" display="http://www.dailygammon.com/bg/game/4999302/0/list" xr:uid="{5076BA14-7949-4341-841C-0FC59502E9BE}"/>
    <hyperlink ref="G41" r:id="rId187" display="http://www.dailygammon.com/bg/user/33344" xr:uid="{872C05C8-F429-4561-8420-B062CE0A2361}"/>
    <hyperlink ref="H41" r:id="rId188" display="http://www.dailygammon.com/bg/game/4999447/0/list" xr:uid="{AD5257D3-31F4-4786-920A-A0B62C65510C}"/>
    <hyperlink ref="G139" r:id="rId189" display="http://www.dailygammon.com/bg/user/33344" xr:uid="{43D3B934-7AFB-462F-A464-6A6A9BF1CAE2}"/>
    <hyperlink ref="H139" r:id="rId190" display="http://www.dailygammon.com/bg/game/4999556/1/list" xr:uid="{B2FED86E-A9A5-4145-8085-B09E807AA696}"/>
    <hyperlink ref="G39" r:id="rId191" display="http://www.dailygammon.com/bg/user/34026" xr:uid="{76CF67E9-127E-452A-A04A-795A0F11CC16}"/>
    <hyperlink ref="H39" r:id="rId192" display="http://www.dailygammon.com/bg/game/4999616/0/list" xr:uid="{D75D0891-AAB5-4876-9194-FF1B16ABEE70}"/>
    <hyperlink ref="G112" r:id="rId193" display="http://www.dailygammon.com/bg/user/34026" xr:uid="{26B47CC4-0A39-4A9C-A3B6-B935802AD45C}"/>
    <hyperlink ref="H112" r:id="rId194" display="http://www.dailygammon.com/bg/game/4999682/1/list" xr:uid="{37AF8E20-B4D8-4CC4-A7E7-296B0F8CD124}"/>
    <hyperlink ref="G121" r:id="rId195" display="http://www.dailygammon.com/bg/user/31952" xr:uid="{BC59241F-4984-4534-90D6-206CE7EB983D}"/>
    <hyperlink ref="H121" r:id="rId196" display="http://www.dailygammon.com/bg/game/5000015/1/list" xr:uid="{26CC4A36-8327-4577-9FC6-2D793195D66E}"/>
    <hyperlink ref="I78:I95" r:id="rId197" display="http://www.dailygammon.com/bg/user/31655" xr:uid="{03E81A95-0A13-4534-99DC-047DCF3CBC7A}"/>
    <hyperlink ref="G176" r:id="rId198" display="http://www.dailygammon.com/bg/user/38369" xr:uid="{56DC4557-B983-401B-B3C1-3D99513BBD7D}"/>
    <hyperlink ref="H176" r:id="rId199" display="http://www.dailygammon.com/bg/game/4999436/1/list" xr:uid="{CDA0687A-5802-4D60-A5C8-9F837D3A2DEC}"/>
    <hyperlink ref="G149" r:id="rId200" display="http://www.dailygammon.com/bg/user/21605" xr:uid="{B7CE636E-3D24-481B-B5E8-D8A156D78A46}"/>
    <hyperlink ref="H149" r:id="rId201" display="http://www.dailygammon.com/bg/game/4999437/1/list" xr:uid="{9BBA0871-9681-4BDA-AE4C-991253D3ACB3}"/>
    <hyperlink ref="G158" r:id="rId202" display="http://www.dailygammon.com/bg/user/31517" xr:uid="{4EA5AB95-6F25-42AF-9C11-29D99DA27E42}"/>
    <hyperlink ref="H158" r:id="rId203" display="http://www.dailygammon.com/bg/game/4999438/1/list" xr:uid="{85B5005F-9A97-41B0-9FD7-F4D247802C98}"/>
    <hyperlink ref="G167" r:id="rId204" display="http://www.dailygammon.com/bg/user/28783" xr:uid="{896A479A-6BCB-4F99-A2BF-4DE85720C0A3}"/>
    <hyperlink ref="H167" r:id="rId205" display="http://www.dailygammon.com/bg/game/4999445/1/list" xr:uid="{019C461D-BA9A-4F7A-97E9-E479F139277C}"/>
    <hyperlink ref="G104" r:id="rId206" display="http://www.dailygammon.com/bg/user/8719" xr:uid="{2E794B4E-2C90-4EC4-9A0B-A59C0302E4AB}"/>
    <hyperlink ref="H104" r:id="rId207" display="http://www.dailygammon.com/bg/game/4999446/1/list" xr:uid="{4776022F-001A-4D22-ADA4-81C4441A65D6}"/>
    <hyperlink ref="G130" r:id="rId208" display="http://www.dailygammon.com/bg/user/31655" xr:uid="{B449881A-67A8-42DD-BF94-387D561261B6}"/>
    <hyperlink ref="H130" r:id="rId209" display="http://www.dailygammon.com/bg/game/4999447/1/list" xr:uid="{56A5933A-C2A4-4632-9F2B-616050C0D049}"/>
    <hyperlink ref="G95" r:id="rId210" display="http://www.dailygammon.com/bg/user/12968" xr:uid="{6F030A89-1ED5-4075-90BF-CD663DADF20C}"/>
    <hyperlink ref="H95" r:id="rId211" display="http://www.dailygammon.com/bg/game/4999448/1/list" xr:uid="{8AE1A145-94EB-494B-91A4-28C1EF5984DA}"/>
    <hyperlink ref="G51" r:id="rId212" display="http://www.dailygammon.com/bg/user/21605" xr:uid="{BA9175BF-BC3E-4FED-8882-0601B47FFA5E}"/>
    <hyperlink ref="H51" r:id="rId213" display="http://www.dailygammon.com/bg/game/4999453/0/list" xr:uid="{0D874B29-46E6-4152-B1FA-0020B1E3340D}"/>
    <hyperlink ref="G47" r:id="rId214" display="http://www.dailygammon.com/bg/user/8719" xr:uid="{81799D91-C3AC-4F54-A3FB-A1D2F37BA3F7}"/>
    <hyperlink ref="H47" r:id="rId215" display="http://www.dailygammon.com/bg/game/4999455/0/list" xr:uid="{7F0746D6-3F2F-44DA-B9D1-D6BC38BE2392}"/>
    <hyperlink ref="G53" r:id="rId216" display="http://www.dailygammon.com/bg/user/28783" xr:uid="{D8CAE4DB-F6E7-46FB-9EF7-2424B46914C5}"/>
    <hyperlink ref="H53" r:id="rId217" display="http://www.dailygammon.com/bg/game/4999466/0/list" xr:uid="{0A76C889-ED0D-4F07-B5E9-11D74086A013}"/>
    <hyperlink ref="G50" r:id="rId218" display="http://www.dailygammon.com/bg/user/31655" xr:uid="{358240EC-3908-4BB5-B420-C7C1E927B782}"/>
    <hyperlink ref="H50" r:id="rId219" display="http://www.dailygammon.com/bg/game/4999556/0/list" xr:uid="{C6FF769D-D3F2-48F5-92FC-6A2FA0341D7A}"/>
    <hyperlink ref="G54" r:id="rId220" display="http://www.dailygammon.com/bg/user/38369" xr:uid="{07B7AFA6-87AF-42C9-9D49-749AFAAAE046}"/>
    <hyperlink ref="H54" r:id="rId221" display="http://www.dailygammon.com/bg/game/4999560/0/list" xr:uid="{C9460099-A204-4A06-A2AD-2B58941D5B4B}"/>
    <hyperlink ref="G48" r:id="rId222" display="http://www.dailygammon.com/bg/user/34026" xr:uid="{EBC8B0A6-3CA8-4A24-9718-075CEB02B62F}"/>
    <hyperlink ref="H48" r:id="rId223" display="http://www.dailygammon.com/bg/game/4999617/0/list" xr:uid="{7F0385B1-F9D5-479D-B42C-8F9155D23D85}"/>
    <hyperlink ref="G49" r:id="rId224" display="http://www.dailygammon.com/bg/user/31952" xr:uid="{3178A8E3-ABF3-4A29-A0CE-26A998A891B0}"/>
    <hyperlink ref="H49" r:id="rId225" display="http://www.dailygammon.com/bg/game/4999662/0/list" xr:uid="{FFF48ACF-16E2-43C1-B4C1-C2FF7D61AFB3}"/>
    <hyperlink ref="G52" r:id="rId226" display="http://www.dailygammon.com/bg/user/31517" xr:uid="{CA53B2E5-8D5E-40A3-BC01-FEFDC52380D1}"/>
    <hyperlink ref="H52" r:id="rId227" display="http://www.dailygammon.com/bg/game/4999715/0/list" xr:uid="{3EC9B28B-06D3-4151-8EBD-7594B2F82A28}"/>
    <hyperlink ref="G46" r:id="rId228" display="http://www.dailygammon.com/bg/user/12968" xr:uid="{CE645EB0-CD34-4E83-8614-92E5E7BFBEC3}"/>
    <hyperlink ref="H46" r:id="rId229" display="http://www.dailygammon.com/bg/game/4999726/0/list" xr:uid="{0DCC122F-7D29-4596-B49A-9F89A5151BE9}"/>
    <hyperlink ref="G113" r:id="rId230" display="http://www.dailygammon.com/bg/user/34026" xr:uid="{8653297C-F2EB-4D65-8B1C-A29611138FE5}"/>
    <hyperlink ref="H113" r:id="rId231" display="http://www.dailygammon.com/bg/game/4999895/1/list" xr:uid="{2103C264-0628-49CD-AAB9-F5B7F87F8BE7}"/>
    <hyperlink ref="G122" r:id="rId232" display="http://www.dailygammon.com/bg/user/31952" xr:uid="{9338A0F6-8662-4841-8DEC-7401044A39AF}"/>
    <hyperlink ref="H122" r:id="rId233" display="http://www.dailygammon.com/bg/game/5000002/1/list" xr:uid="{CE6B321D-F206-45B6-B30D-7C0EC725584A}"/>
    <hyperlink ref="I96:I113" r:id="rId234" display="http://www.dailygammon.com/bg/user/33344" xr:uid="{98949437-0B33-4BAA-8C28-31FC706CC132}"/>
    <hyperlink ref="G177" r:id="rId235" display="http://www.dailygammon.com/bg/user/38369" xr:uid="{D23C41BE-52E5-4C15-A4CD-B22586B3182A}"/>
    <hyperlink ref="H177" r:id="rId236" display="http://www.dailygammon.com/bg/game/4998609/1/list" xr:uid="{60318200-99F2-499B-A5E8-83CD3D3C38D7}"/>
    <hyperlink ref="G57" r:id="rId237" display="http://www.dailygammon.com/bg/user/34026" xr:uid="{3509469E-DDB9-41E2-9EA3-BD355870A1FC}"/>
    <hyperlink ref="H57" r:id="rId238" display="http://www.dailygammon.com/bg/game/4998619/0/list" xr:uid="{0E261B38-EFEC-47B6-948D-2FDCFB750A95}"/>
    <hyperlink ref="G63" r:id="rId239" display="http://www.dailygammon.com/bg/user/38369" xr:uid="{BB6635DF-2925-4034-849E-4946DBB5B202}"/>
    <hyperlink ref="H63" r:id="rId240" display="http://www.dailygammon.com/bg/game/4998624/0/list" xr:uid="{6EC97393-1B21-410A-A29B-8F093A75F181}"/>
    <hyperlink ref="G58" r:id="rId241" display="http://www.dailygammon.com/bg/user/31952" xr:uid="{6451EE81-AA84-466B-9446-5A804D765892}"/>
    <hyperlink ref="H58" r:id="rId242" display="http://www.dailygammon.com/bg/game/4998695/0/list" xr:uid="{FF05DC9C-1045-4662-B674-D1681C177C03}"/>
    <hyperlink ref="G61" r:id="rId243" display="http://www.dailygammon.com/bg/user/31517" xr:uid="{6E78B9DF-9C46-467A-8D01-95963DDAE16E}"/>
    <hyperlink ref="H61" r:id="rId244" display="http://www.dailygammon.com/bg/game/4998766/0/list" xr:uid="{32D8CB69-EBB2-49BC-A07B-48746370EDCE}"/>
    <hyperlink ref="G56" r:id="rId245" display="http://www.dailygammon.com/bg/user/8719" xr:uid="{D3704977-733A-4198-AA60-FEF09C97DFCB}"/>
    <hyperlink ref="H56" r:id="rId246" display="http://www.dailygammon.com/bg/game/4998859/0/list" xr:uid="{114B6783-80BF-4428-8096-29B83A50E179}"/>
    <hyperlink ref="G59" r:id="rId247" display="http://www.dailygammon.com/bg/user/31655" xr:uid="{10DCACDA-4F92-4E4D-B0C9-B732E1E8C741}"/>
    <hyperlink ref="H59" r:id="rId248" display="http://www.dailygammon.com/bg/game/4998971/0/list" xr:uid="{F798E722-9359-4AB9-B9A6-1651494F7102}"/>
    <hyperlink ref="B183" r:id="rId249" display="http://www.dailygammon.com/bg/event/104618" xr:uid="{E86CFD5E-E76B-42AD-84C5-C8C4DFD67C96}"/>
    <hyperlink ref="G183" r:id="rId250" display="http://www.dailygammon.com/bg/user/17987" xr:uid="{7A7E738C-56CF-475A-A76D-989AA9EB9E09}"/>
    <hyperlink ref="H183" r:id="rId251" display="http://www.dailygammon.com/bg/game/4999083/1/list" xr:uid="{5A8392BA-2EEC-4F29-A72D-EE84EFD94CFD}"/>
    <hyperlink ref="G62" r:id="rId252" display="http://www.dailygammon.com/bg/user/28783" xr:uid="{A83618D9-B422-4D22-BE77-B123483C4365}"/>
    <hyperlink ref="H62" r:id="rId253" display="http://www.dailygammon.com/bg/game/4999120/0/list" xr:uid="{054B2678-7D7E-43AA-B812-052A77D886B7}"/>
    <hyperlink ref="G159" r:id="rId254" display="http://www.dailygammon.com/bg/user/31517" xr:uid="{8FCD984F-9592-4710-AAD8-802B9C9E3F23}"/>
    <hyperlink ref="H159" r:id="rId255" display="http://www.dailygammon.com/bg/game/4999155/1/list" xr:uid="{F09E89C0-9F5C-4C3C-9065-D8D79D5D0A83}"/>
    <hyperlink ref="G131" r:id="rId256" display="http://www.dailygammon.com/bg/user/31655" xr:uid="{1F5E0985-3F7C-4A09-9B41-E495203044AC}"/>
    <hyperlink ref="H131" r:id="rId257" display="http://www.dailygammon.com/bg/game/4999156/1/list" xr:uid="{F5224A98-BC22-4A66-A66C-85146AFCB9F9}"/>
    <hyperlink ref="G168" r:id="rId258" display="http://www.dailygammon.com/bg/user/28783" xr:uid="{C106601D-2043-4E53-9778-2250B8DBC7DC}"/>
    <hyperlink ref="H168" r:id="rId259" display="http://www.dailygammon.com/bg/game/4999183/1/list" xr:uid="{FF542B6B-0EE2-4E88-AED1-D4A9C839866C}"/>
    <hyperlink ref="G55" r:id="rId260" display="http://www.dailygammon.com/bg/user/12968" xr:uid="{F43BBDA0-9063-4FD4-BA28-DFB2DCFFA19C}"/>
    <hyperlink ref="H55" r:id="rId261" display="http://www.dailygammon.com/bg/game/4999241/0/list" xr:uid="{2C1472F2-F368-4030-898E-A7480F702ACF}"/>
    <hyperlink ref="G96" r:id="rId262" display="http://www.dailygammon.com/bg/user/12968" xr:uid="{53A20BF8-B0D5-45F5-B178-4DF50E88E201}"/>
    <hyperlink ref="H96" r:id="rId263" display="http://www.dailygammon.com/bg/game/4999244/1/list" xr:uid="{E6B59F30-9701-45BA-ADEE-7965DC1084C9}"/>
    <hyperlink ref="G105" r:id="rId264" display="http://www.dailygammon.com/bg/user/8719" xr:uid="{3B4C653A-AF35-43D8-B256-04ABA865EB7F}"/>
    <hyperlink ref="H105" r:id="rId265" display="http://www.dailygammon.com/bg/game/4999314/1/list" xr:uid="{BE130C3F-C6A1-454E-8934-A8C9A19D71C0}"/>
    <hyperlink ref="G60" r:id="rId266" display="http://www.dailygammon.com/bg/user/33344" xr:uid="{7D8704E6-9DC9-425D-A9F2-AA21D6A88BCD}"/>
    <hyperlink ref="H60" r:id="rId267" display="http://www.dailygammon.com/bg/game/4999437/0/list" xr:uid="{8CBF8FA8-E24C-41EB-B581-6C7EC32E53AA}"/>
    <hyperlink ref="G140" r:id="rId268" display="http://www.dailygammon.com/bg/user/33344" xr:uid="{85CDC78E-9925-4FA2-BCA4-D1AC03C10BFE}"/>
    <hyperlink ref="H140" r:id="rId269" display="http://www.dailygammon.com/bg/game/4999453/1/list" xr:uid="{E6F07D4E-531D-4FFB-9BF1-27680478FB2C}"/>
    <hyperlink ref="B184" r:id="rId270" display="http://www.dailygammon.com/bg/event/104583" xr:uid="{EAE1CAC4-0EA3-435F-80D0-0D82456C76A1}"/>
    <hyperlink ref="G184" r:id="rId271" display="http://www.dailygammon.com/bg/user/17987" xr:uid="{E7DA90B3-7B49-4C1F-AFFF-F6199DC72DA3}"/>
    <hyperlink ref="H184" r:id="rId272" display="http://www.dailygammon.com/bg/game/4999491/0/list" xr:uid="{46E15261-4DF3-4C7E-909D-3A1D73F37646}"/>
    <hyperlink ref="G114" r:id="rId273" display="http://www.dailygammon.com/bg/user/34026" xr:uid="{E6ECC9CC-1410-4E79-A4A6-03EBB20DEE25}"/>
    <hyperlink ref="H114" r:id="rId274" display="http://www.dailygammon.com/bg/game/4999646/1/list" xr:uid="{34108E87-C14F-42AF-8BA4-3DB0DE9C10EF}"/>
    <hyperlink ref="I114:I132" r:id="rId275" display="http://www.dailygammon.com/bg/user/21605" xr:uid="{7F8E241B-FED7-4F63-B940-E0FBB5A2DA05}"/>
    <hyperlink ref="G178" r:id="rId276" display="http://www.dailygammon.com/bg/user/38369" xr:uid="{0EE51CC8-B544-41AB-A289-46AC4AA92F3C}"/>
    <hyperlink ref="H178" r:id="rId277" display="http://www.dailygammon.com/bg/game/4998765/1/list" xr:uid="{F57E7FF9-11DB-4A7D-8E73-0E3C0734EF5A}"/>
    <hyperlink ref="G150" r:id="rId278" display="http://www.dailygammon.com/bg/user/21605" xr:uid="{12ECE129-71C6-4D85-AE7A-8F2543EE86DD}"/>
    <hyperlink ref="H150" r:id="rId279" display="http://www.dailygammon.com/bg/game/4998766/1/list" xr:uid="{42D8A626-DF13-46A8-942B-4104D9C5CA2C}"/>
    <hyperlink ref="G65" r:id="rId280" display="http://www.dailygammon.com/bg/user/8719" xr:uid="{21B90442-B929-405E-8461-7A9736F3FF74}"/>
    <hyperlink ref="H65" r:id="rId281" display="http://www.dailygammon.com/bg/game/4998857/0/list" xr:uid="{B17984AC-B145-45DE-9042-30634CDDE609}"/>
    <hyperlink ref="G67" r:id="rId282" display="http://www.dailygammon.com/bg/user/31952" xr:uid="{559DB99B-9F7A-47E0-B9EF-D59737B710C5}"/>
    <hyperlink ref="H67" r:id="rId283" display="http://www.dailygammon.com/bg/game/4998922/0/list" xr:uid="{CE21AD07-84E1-4E3B-ABD4-7A92E6C9D24E}"/>
    <hyperlink ref="G68" r:id="rId284" display="http://www.dailygammon.com/bg/user/31655" xr:uid="{4E40AF15-F5D3-49CA-9242-1FE006A674B3}"/>
    <hyperlink ref="H68" r:id="rId285" display="http://www.dailygammon.com/bg/game/4998972/0/list" xr:uid="{9446E9CD-7C6E-4F79-9226-4C7371C90270}"/>
    <hyperlink ref="G71" r:id="rId286" display="http://www.dailygammon.com/bg/user/28783" xr:uid="{F37A7A7C-F9F9-4401-8A43-05E8E4F7A6ED}"/>
    <hyperlink ref="H71" r:id="rId287" display="http://www.dailygammon.com/bg/game/4999121/0/list" xr:uid="{8F54AAAC-F5D5-4B74-AE1E-284F3A965417}"/>
    <hyperlink ref="G70" r:id="rId288" display="http://www.dailygammon.com/bg/user/21605" xr:uid="{1EB42A19-F4C9-48A2-B515-0CCEA046CB5B}"/>
    <hyperlink ref="H70" r:id="rId289" display="http://www.dailygammon.com/bg/game/4999155/0/list" xr:uid="{39130ECC-B550-4117-9469-6054785C31D7}"/>
    <hyperlink ref="G169" r:id="rId290" display="http://www.dailygammon.com/bg/user/28783" xr:uid="{C2C1FF56-7356-46CB-A95C-CCE8F4700CFD}"/>
    <hyperlink ref="H169" r:id="rId291" display="http://www.dailygammon.com/bg/game/4999177/1/list" xr:uid="{BA06B466-4DFE-402F-BE10-8F8031A30D60}"/>
    <hyperlink ref="G72" r:id="rId292" display="http://www.dailygammon.com/bg/user/38369" xr:uid="{C202B98A-8E00-4F38-BCB6-15CD01D31612}"/>
    <hyperlink ref="H72" r:id="rId293" display="http://www.dailygammon.com/bg/game/4999209/0/list" xr:uid="{0379AFF3-A65E-487A-9D80-4F60D1922048}"/>
    <hyperlink ref="G64" r:id="rId294" display="http://www.dailygammon.com/bg/user/12968" xr:uid="{8E506691-F76C-45E9-B3F0-10F0AA03CBDD}"/>
    <hyperlink ref="H64" r:id="rId295" display="http://www.dailygammon.com/bg/game/4999242/0/list" xr:uid="{011083B9-3CDF-4FFB-9E8F-1385CA98288C}"/>
    <hyperlink ref="G106" r:id="rId296" display="http://www.dailygammon.com/bg/user/8719" xr:uid="{9C40C607-6B76-474B-AB87-3F1E36DA1DC3}"/>
    <hyperlink ref="H106" r:id="rId297" display="http://www.dailygammon.com/bg/game/4999301/1/list" xr:uid="{D8AA8B76-48CA-4484-9690-22B28FC8CC24}"/>
    <hyperlink ref="G132" r:id="rId298" display="http://www.dailygammon.com/bg/user/31655" xr:uid="{1BC2F98C-1808-45CA-BED9-7063F2B25413}"/>
    <hyperlink ref="H132" r:id="rId299" display="http://www.dailygammon.com/bg/game/4999302/1/list" xr:uid="{96687DBB-C4B2-411D-9F6D-22E66A84AAB9}"/>
    <hyperlink ref="G97" r:id="rId300" display="http://www.dailygammon.com/bg/user/12968" xr:uid="{19224972-9A4F-4AA0-8B05-366F2B5459A5}"/>
    <hyperlink ref="H97" r:id="rId301" display="http://www.dailygammon.com/bg/game/4999303/1/list" xr:uid="{23D5383B-EFAA-4F98-9994-BEBFE53CDFB4}"/>
    <hyperlink ref="B187" r:id="rId302" display="http://www.dailygammon.com/bg/event/99363" xr:uid="{18954EAA-0CC8-41F8-9087-33D12126F669}"/>
    <hyperlink ref="G187" r:id="rId303" display="http://www.dailygammon.com/bg/user/31013" xr:uid="{E9B50186-3C83-49AD-9DB2-226453F44CF4}"/>
    <hyperlink ref="H187" r:id="rId304" display="http://www.dailygammon.com/bg/game/4999363/1/list" xr:uid="{8C676804-8A67-4F8D-9B04-63EC5A8D23D9}"/>
    <hyperlink ref="G69" r:id="rId305" display="http://www.dailygammon.com/bg/user/33344" xr:uid="{FF99266B-1AA4-48F3-8534-D4CA2127647F}"/>
    <hyperlink ref="H69" r:id="rId306" display="http://www.dailygammon.com/bg/game/4999438/0/list" xr:uid="{659EAB32-11DB-4DEB-AA53-C621B3B1C9FB}"/>
    <hyperlink ref="G66" r:id="rId307" display="http://www.dailygammon.com/bg/user/34026" xr:uid="{D15F2D5F-8BD1-40EE-886A-0E1BC6022E23}"/>
    <hyperlink ref="H66" r:id="rId308" display="http://www.dailygammon.com/bg/game/4999615/0/list" xr:uid="{66F0AA13-148F-409B-8141-65D507F08102}"/>
    <hyperlink ref="G115" r:id="rId309" display="http://www.dailygammon.com/bg/user/34026" xr:uid="{8D9E7A0E-0882-46EA-9C5C-F4714D1F81A1}"/>
    <hyperlink ref="H115" r:id="rId310" display="http://www.dailygammon.com/bg/game/4999714/1/list" xr:uid="{8AC2A33D-4AE5-4EF2-A761-1C2107602FBE}"/>
    <hyperlink ref="G141" r:id="rId311" display="http://www.dailygammon.com/bg/user/33344" xr:uid="{C61D2A56-1E0D-45F1-929A-4988AD535A30}"/>
    <hyperlink ref="H141" r:id="rId312" display="http://www.dailygammon.com/bg/game/4999715/1/list" xr:uid="{D8E988C8-CF78-4871-A15D-7004A9C367DE}"/>
    <hyperlink ref="G123" r:id="rId313" display="http://www.dailygammon.com/bg/user/31952" xr:uid="{844B263C-784F-4BF9-A5C5-2A6643A66045}"/>
    <hyperlink ref="H123" r:id="rId314" display="http://www.dailygammon.com/bg/game/4999996/1/list" xr:uid="{CFE178EA-E90F-4F24-97A1-53794929132D}"/>
    <hyperlink ref="I133:I151" r:id="rId315" display="http://www.dailygammon.com/bg/user/31517" xr:uid="{72811C3F-C630-4001-A2FA-F632DB4EB9AE}"/>
    <hyperlink ref="G179" r:id="rId316" display="http://www.dailygammon.com/bg/user/38369" xr:uid="{DCC8FF90-3543-4996-A4C3-64CC53757F2E}"/>
    <hyperlink ref="H179" r:id="rId317" display="http://www.dailygammon.com/bg/game/4999119/1/list" xr:uid="{A9B66147-70BF-49F7-81C0-FE665A18DBF2}"/>
    <hyperlink ref="G151" r:id="rId318" display="http://www.dailygammon.com/bg/user/21605" xr:uid="{49E6E9D6-4D46-4B32-8834-8051FC4D78AA}"/>
    <hyperlink ref="H151" r:id="rId319" display="http://www.dailygammon.com/bg/game/4999120/1/list" xr:uid="{7B026EAD-7ADE-4DE8-8A96-D2AC9CB2FB34}"/>
    <hyperlink ref="G160" r:id="rId320" display="http://www.dailygammon.com/bg/user/31517" xr:uid="{96AAE1C6-FCF5-450B-9457-4DC92219677B}"/>
    <hyperlink ref="H160" r:id="rId321" display="http://www.dailygammon.com/bg/game/4999121/1/list" xr:uid="{87FCD6A9-8300-4F45-A620-36E968ABD77D}"/>
    <hyperlink ref="G133" r:id="rId322" display="http://www.dailygammon.com/bg/user/31655" xr:uid="{EB896A3B-8BAF-4E19-ACD5-B9D97D6BE52B}"/>
    <hyperlink ref="H133" r:id="rId323" display="http://www.dailygammon.com/bg/game/4999122/1/list" xr:uid="{62A5A50B-2B2E-48ED-AFFC-A86C45EA77FC}"/>
    <hyperlink ref="G74" r:id="rId324" display="http://www.dailygammon.com/bg/user/8719" xr:uid="{C3EA7AB9-2E30-4E9B-82F6-A7EE703F78C3}"/>
    <hyperlink ref="H74" r:id="rId325" display="http://www.dailygammon.com/bg/game/4999172/0/list" xr:uid="{6A76FD09-DA96-4AAE-9957-0CBB85B299DD}"/>
    <hyperlink ref="G76" r:id="rId326" display="http://www.dailygammon.com/bg/user/31952" xr:uid="{FC22BE81-BC7B-45CA-84DE-C6439E994B86}"/>
    <hyperlink ref="H76" r:id="rId327" display="http://www.dailygammon.com/bg/game/4999174/0/list" xr:uid="{FDF23867-5097-4725-9AF3-604D70CE94E3}"/>
    <hyperlink ref="G80" r:id="rId328" display="http://www.dailygammon.com/bg/user/31517" xr:uid="{65F73636-D2A4-4915-B7F3-34DC988AF422}"/>
    <hyperlink ref="H80" r:id="rId329" display="http://www.dailygammon.com/bg/game/4999177/0/list" xr:uid="{6783664D-9433-46A7-AC5A-445629D947AC}"/>
    <hyperlink ref="G79" r:id="rId330" display="http://www.dailygammon.com/bg/user/21605" xr:uid="{911992F9-7F85-43C6-B002-BAE87A643587}"/>
    <hyperlink ref="H79" r:id="rId331" display="http://www.dailygammon.com/bg/game/4999183/0/list" xr:uid="{493F6AC1-761A-413B-AB6A-02A45A95E942}"/>
    <hyperlink ref="G81" r:id="rId332" display="http://www.dailygammon.com/bg/user/38369" xr:uid="{89B7ED6A-644E-4500-8801-B45B97391DDD}"/>
    <hyperlink ref="H81" r:id="rId333" display="http://www.dailygammon.com/bg/game/4999211/0/list" xr:uid="{B6A01051-9B8C-4904-810D-AD43BCECBC96}"/>
    <hyperlink ref="G77" r:id="rId334" display="http://www.dailygammon.com/bg/user/31655" xr:uid="{458CAEA2-03C0-45BF-AB56-DDE306E40F5F}"/>
    <hyperlink ref="H77" r:id="rId335" display="http://www.dailygammon.com/bg/game/4999235/0/list" xr:uid="{4359634F-4756-4157-9368-C7DFD2F7EC9E}"/>
    <hyperlink ref="G73" r:id="rId336" display="http://www.dailygammon.com/bg/user/12968" xr:uid="{C7CA2FCE-D3B7-4498-A72F-BC45EFEFF494}"/>
    <hyperlink ref="H73" r:id="rId337" display="http://www.dailygammon.com/bg/game/4999240/0/list" xr:uid="{A08A3D69-9E37-4DAA-9125-DDC7F6EBC2C2}"/>
    <hyperlink ref="G98" r:id="rId338" display="http://www.dailygammon.com/bg/user/12968" xr:uid="{C2CE4D8D-F1A5-412A-A6E0-2F05EBB540BC}"/>
    <hyperlink ref="H98" r:id="rId339" display="http://www.dailygammon.com/bg/game/4999247/1/list" xr:uid="{A66F9BF5-D593-4261-9DFD-A08FD611EAE0}"/>
    <hyperlink ref="G107" r:id="rId340" display="http://www.dailygammon.com/bg/user/8719" xr:uid="{7BA9C47F-C96D-4E41-83B5-B3122A87CC72}"/>
    <hyperlink ref="H107" r:id="rId341" display="http://www.dailygammon.com/bg/game/4999284/1/list" xr:uid="{34404049-1AFA-4C6D-B91B-B2F06D4E5DC6}"/>
    <hyperlink ref="G78" r:id="rId342" display="http://www.dailygammon.com/bg/user/33344" xr:uid="{DC4D2915-DF05-49DA-B8F0-7A8558F6A5C5}"/>
    <hyperlink ref="H78" r:id="rId343" display="http://www.dailygammon.com/bg/game/4999445/0/list" xr:uid="{D7879A9E-9193-4926-AC9B-F51DFA14D708}"/>
    <hyperlink ref="G142" r:id="rId344" display="http://www.dailygammon.com/bg/user/33344" xr:uid="{4C4E85DC-3DE6-4461-9E6D-8516E815A85C}"/>
    <hyperlink ref="H142" r:id="rId345" display="http://www.dailygammon.com/bg/game/4999466/1/list" xr:uid="{30E90C00-4209-4FE2-980B-DECB9188FB3B}"/>
    <hyperlink ref="G75" r:id="rId346" display="http://www.dailygammon.com/bg/user/34026" xr:uid="{95C999C0-8BD3-40AC-98DB-8DA8E7469CE6}"/>
    <hyperlink ref="H75" r:id="rId347" display="http://www.dailygammon.com/bg/game/4999612/0/list" xr:uid="{37860806-CDE3-425F-910A-9CBD4D62A5DA}"/>
    <hyperlink ref="B186" r:id="rId348" display="http://www.dailygammon.com/bg/event/104225" xr:uid="{649D6A15-0349-4BD0-9A42-0E67449E2D2D}"/>
    <hyperlink ref="G186" r:id="rId349" display="http://www.dailygammon.com/bg/user/30835" xr:uid="{9292BFDC-42D2-4703-8D27-73BFDC467CBC}"/>
    <hyperlink ref="H186" r:id="rId350" display="http://www.dailygammon.com/bg/game/4999627/0/list" xr:uid="{2E7C392F-BD53-4F0C-8EAC-78A0FE0ABC7A}"/>
    <hyperlink ref="G116" r:id="rId351" display="http://www.dailygammon.com/bg/user/34026" xr:uid="{D4056F5E-F4F2-4BB8-8800-AAABAA85D535}"/>
    <hyperlink ref="H116" r:id="rId352" display="http://www.dailygammon.com/bg/game/4999689/1/list" xr:uid="{40327DB3-C19D-4416-92C9-55BDCE4FBB5B}"/>
    <hyperlink ref="G124" r:id="rId353" display="http://www.dailygammon.com/bg/user/31952" xr:uid="{8E15048D-7B60-4EA2-9916-15109E372122}"/>
    <hyperlink ref="H124" r:id="rId354" display="http://www.dailygammon.com/bg/game/5000102/1/list" xr:uid="{DA5491C0-4DB6-4832-A0FF-1D16A200F366}"/>
    <hyperlink ref="I152:I170" r:id="rId355" display="http://www.dailygammon.com/bg/user/28783" xr:uid="{B1C4ADD1-86FF-439D-B42D-A676968EAA10}"/>
    <hyperlink ref="G82" r:id="rId356" display="http://www.dailygammon.com/bg/user/12968" xr:uid="{95091020-5D20-4B57-B707-AE2368536B9D}"/>
    <hyperlink ref="H82" r:id="rId357" display="http://www.dailygammon.com/bg/game/4998604/0/list" xr:uid="{F8089862-C4D4-4316-BEB1-1BD798727BB7}"/>
    <hyperlink ref="G88" r:id="rId358" display="http://www.dailygammon.com/bg/user/21605" xr:uid="{EAE3AC74-5ABF-4C72-B66C-8F3A6B44AEA8}"/>
    <hyperlink ref="H88" r:id="rId359" display="http://www.dailygammon.com/bg/game/4998609/0/list" xr:uid="{8679F27E-3009-4CA5-8D37-7BC2A99273A4}"/>
    <hyperlink ref="G84" r:id="rId360" display="http://www.dailygammon.com/bg/user/34026" xr:uid="{88363102-C6A5-4B5C-8C0D-CF051B9DA0D9}"/>
    <hyperlink ref="H84" r:id="rId361" display="http://www.dailygammon.com/bg/game/4998618/0/list" xr:uid="{2F035EF0-B4B8-4731-A22D-979650ADD095}"/>
    <hyperlink ref="G152" r:id="rId362" display="http://www.dailygammon.com/bg/user/21605" xr:uid="{D27B42AE-5578-429F-9C40-16A58D2B0D55}"/>
    <hyperlink ref="H152" r:id="rId363" display="http://www.dailygammon.com/bg/game/4998624/1/list" xr:uid="{09FD4580-7DBA-43E5-9EDB-27F233CE102F}"/>
    <hyperlink ref="G85" r:id="rId364" display="http://www.dailygammon.com/bg/user/31952" xr:uid="{7A33DF0C-5EB2-4F50-9845-2383C456351E}"/>
    <hyperlink ref="H85" r:id="rId365" display="http://www.dailygammon.com/bg/game/4998694/0/list" xr:uid="{1C688E2B-D1D8-4CF7-85E7-4FB136856D7A}"/>
    <hyperlink ref="G89" r:id="rId366" display="http://www.dailygammon.com/bg/user/31517" xr:uid="{FA1D8354-34D5-49E0-A037-7DD2CA3F1AE6}"/>
    <hyperlink ref="H89" r:id="rId367" display="http://www.dailygammon.com/bg/game/4998765/0/list" xr:uid="{ECE6C245-E48B-4C81-8230-96593696B5AE}"/>
    <hyperlink ref="G83" r:id="rId368" display="http://www.dailygammon.com/bg/user/8719" xr:uid="{78689F98-2BD9-40D2-9ED4-182B07F8DD26}"/>
    <hyperlink ref="H83" r:id="rId369" display="http://www.dailygammon.com/bg/game/4998858/0/list" xr:uid="{FFDA6D10-E345-40C0-AC3B-BCCC973C274B}"/>
    <hyperlink ref="G86" r:id="rId370" display="http://www.dailygammon.com/bg/user/31655" xr:uid="{0A669697-CA41-406F-895A-587134A1B3B1}"/>
    <hyperlink ref="H86" r:id="rId371" display="http://www.dailygammon.com/bg/game/4998970/0/list" xr:uid="{BFD25021-146C-4952-BD81-1368780E58A6}"/>
    <hyperlink ref="G90" r:id="rId372" display="http://www.dailygammon.com/bg/user/28783" xr:uid="{F43172A8-214B-422C-9FF4-B7882287259B}"/>
    <hyperlink ref="H90" r:id="rId373" display="http://www.dailygammon.com/bg/game/4999119/0/list" xr:uid="{6CAF6A98-4719-4787-821E-A39EB8F808BD}"/>
    <hyperlink ref="G161" r:id="rId374" display="http://www.dailygammon.com/bg/user/31517" xr:uid="{9CFAB66D-AFF8-4A49-B548-90F09742B5B6}"/>
    <hyperlink ref="H161" r:id="rId375" display="http://www.dailygammon.com/bg/game/4999209/1/list" xr:uid="{74372AB4-7D49-438B-949B-0BF93809E409}"/>
    <hyperlink ref="G134" r:id="rId376" display="http://www.dailygammon.com/bg/user/31655" xr:uid="{13C0016A-0E9E-4F1F-89C0-363F24257831}"/>
    <hyperlink ref="H134" r:id="rId377" display="http://www.dailygammon.com/bg/game/4999210/1/list" xr:uid="{A591DBF6-10DD-4D2E-9EE2-5A55AFE71D85}"/>
    <hyperlink ref="G170" r:id="rId378" display="http://www.dailygammon.com/bg/user/28783" xr:uid="{33A051F6-93E9-4178-A799-73622545430D}"/>
    <hyperlink ref="H170" r:id="rId379" display="http://www.dailygammon.com/bg/game/4999211/1/list" xr:uid="{DD3FEEE2-CE5E-4DEB-8DDF-5FC05F3A353E}"/>
    <hyperlink ref="G99" r:id="rId380" display="http://www.dailygammon.com/bg/user/12968" xr:uid="{0D5DEA62-71CD-4B6B-AE7D-2EB669173201}"/>
    <hyperlink ref="H99" r:id="rId381" display="http://www.dailygammon.com/bg/game/4999248/1/list" xr:uid="{5428A8BB-BE2D-416D-9ABF-3BF6B16E79A7}"/>
    <hyperlink ref="G108" r:id="rId382" display="http://www.dailygammon.com/bg/user/8719" xr:uid="{F19692C8-4B55-4D90-B2B7-CFAEBD52A389}"/>
    <hyperlink ref="H108" r:id="rId383" display="http://www.dailygammon.com/bg/game/4999393/1/list" xr:uid="{B93F08A7-C5DC-45EE-9FE0-4B580D5F490D}"/>
    <hyperlink ref="G87" r:id="rId384" display="http://www.dailygammon.com/bg/user/33344" xr:uid="{0CE03A62-0205-4AC5-B3ED-15696658557A}"/>
    <hyperlink ref="H87" r:id="rId385" display="http://www.dailygammon.com/bg/game/4999436/0/list" xr:uid="{6E3B889F-FB00-4B85-B023-97C66292038D}"/>
    <hyperlink ref="G143" r:id="rId386" display="http://www.dailygammon.com/bg/user/33344" xr:uid="{F6F394FC-EDBF-4298-955D-25CE867F3187}"/>
    <hyperlink ref="H143" r:id="rId387" display="http://www.dailygammon.com/bg/game/4999560/1/list" xr:uid="{27455938-15CE-4D00-8821-9885E79C6D42}"/>
    <hyperlink ref="G117" r:id="rId388" display="http://www.dailygammon.com/bg/user/34026" xr:uid="{9F9DA8EE-1C4F-4C4D-8D0E-B5706D92C69D}"/>
    <hyperlink ref="H117" r:id="rId389" display="http://www.dailygammon.com/bg/game/4999660/1/list" xr:uid="{39FFA44A-6BC4-4F1D-8696-0D53F4B61994}"/>
    <hyperlink ref="G125" r:id="rId390" display="http://www.dailygammon.com/bg/user/31952" xr:uid="{EFECA131-ABAE-48DC-A64F-BB5C75E23F49}"/>
    <hyperlink ref="H125" r:id="rId391" display="http://www.dailygammon.com/bg/game/5000001/1/list" xr:uid="{AED0957B-6234-4115-AE4A-4CEE49BA9C8E}"/>
    <hyperlink ref="I171:I188" r:id="rId392" display="http://www.dailygammon.com/bg/user/38369" xr:uid="{122AD7CE-BC3C-4F1B-8782-0EBF2976B067}"/>
  </hyperlink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4770E-3605-4C20-B420-1FFD23F5C6D5}">
  <sheetPr codeName="Tabelle6"/>
  <dimension ref="A1:K12"/>
  <sheetViews>
    <sheetView workbookViewId="0">
      <selection sqref="A1:K12"/>
    </sheetView>
  </sheetViews>
  <sheetFormatPr baseColWidth="10" defaultColWidth="15.90625" defaultRowHeight="14.5" x14ac:dyDescent="0.35"/>
  <cols>
    <col min="1" max="11" width="18.453125" customWidth="1"/>
  </cols>
  <sheetData>
    <row r="1" spans="1:11" x14ac:dyDescent="0.35">
      <c r="A1" s="51"/>
      <c r="B1" s="51" t="s">
        <v>54</v>
      </c>
      <c r="C1" s="51" t="s">
        <v>180</v>
      </c>
      <c r="D1" s="51" t="s">
        <v>55</v>
      </c>
      <c r="E1" s="51" t="s">
        <v>165</v>
      </c>
      <c r="F1" s="51" t="s">
        <v>166</v>
      </c>
      <c r="G1" s="51" t="s">
        <v>57</v>
      </c>
      <c r="H1" s="51" t="s">
        <v>58</v>
      </c>
      <c r="I1" s="51" t="s">
        <v>181</v>
      </c>
      <c r="J1" s="51" t="s">
        <v>167</v>
      </c>
      <c r="K1" s="51" t="s">
        <v>60</v>
      </c>
    </row>
    <row r="2" spans="1:11" x14ac:dyDescent="0.35">
      <c r="A2" s="51" t="s">
        <v>54</v>
      </c>
      <c r="B2" s="51" t="s">
        <v>24</v>
      </c>
      <c r="C2" s="68">
        <v>0.46388888888888891</v>
      </c>
      <c r="D2" s="68">
        <v>0.38124999999999998</v>
      </c>
      <c r="E2" s="68">
        <v>0.46180555555555558</v>
      </c>
      <c r="F2" s="68">
        <v>0.46458333333333335</v>
      </c>
      <c r="G2" s="68">
        <v>7.6388888888888886E-3</v>
      </c>
      <c r="H2" s="68">
        <v>9.0972222222222218E-2</v>
      </c>
      <c r="I2" s="68">
        <v>4.9305555555555554E-2</v>
      </c>
      <c r="J2" s="68">
        <v>0.25763888888888886</v>
      </c>
      <c r="K2" s="68">
        <v>0.29930555555555555</v>
      </c>
    </row>
    <row r="3" spans="1:11" x14ac:dyDescent="0.35">
      <c r="A3" s="51" t="s">
        <v>180</v>
      </c>
      <c r="B3" s="68">
        <v>0.42430555555555555</v>
      </c>
      <c r="C3" s="51" t="s">
        <v>24</v>
      </c>
      <c r="D3" s="68">
        <v>0.46319444444444446</v>
      </c>
      <c r="E3" s="68">
        <v>0.46111111111111114</v>
      </c>
      <c r="F3" s="68">
        <v>9.0972222222222218E-2</v>
      </c>
      <c r="G3" s="68">
        <v>9.0972222222222218E-2</v>
      </c>
      <c r="H3" s="68">
        <v>9.0972222222222218E-2</v>
      </c>
      <c r="I3" s="68">
        <v>0.46250000000000002</v>
      </c>
      <c r="J3" s="68">
        <v>0.46458333333333335</v>
      </c>
      <c r="K3" s="68">
        <v>0.25763888888888886</v>
      </c>
    </row>
    <row r="4" spans="1:11" x14ac:dyDescent="0.35">
      <c r="A4" s="51" t="s">
        <v>55</v>
      </c>
      <c r="B4" s="68">
        <v>0.25416666666666665</v>
      </c>
      <c r="C4" s="68">
        <v>0.38055555555555554</v>
      </c>
      <c r="D4" s="51" t="s">
        <v>24</v>
      </c>
      <c r="E4" s="68">
        <v>0.29930555555555555</v>
      </c>
      <c r="F4" s="68">
        <v>0.46388888888888891</v>
      </c>
      <c r="G4" s="68">
        <v>0.46250000000000002</v>
      </c>
      <c r="H4" s="68">
        <v>9.0972222222222218E-2</v>
      </c>
      <c r="I4" s="68">
        <v>0.42430555555555555</v>
      </c>
      <c r="J4" s="68">
        <v>0.13263888888888889</v>
      </c>
      <c r="K4" s="68">
        <v>0.29930555555555555</v>
      </c>
    </row>
    <row r="5" spans="1:11" x14ac:dyDescent="0.35">
      <c r="A5" s="51" t="s">
        <v>165</v>
      </c>
      <c r="B5" s="68">
        <v>0.46250000000000002</v>
      </c>
      <c r="C5" s="68">
        <v>0.45902777777777776</v>
      </c>
      <c r="D5" s="68">
        <v>0.46388888888888891</v>
      </c>
      <c r="E5" s="51" t="s">
        <v>24</v>
      </c>
      <c r="F5" s="68">
        <v>0.25763888888888886</v>
      </c>
      <c r="G5" s="68">
        <v>0.46250000000000002</v>
      </c>
      <c r="H5" s="68">
        <v>0.25763888888888886</v>
      </c>
      <c r="I5" s="68">
        <v>0.34097222222222223</v>
      </c>
      <c r="J5" s="68">
        <v>0.42430555555555555</v>
      </c>
      <c r="K5" s="68">
        <v>0.46458333333333335</v>
      </c>
    </row>
    <row r="6" spans="1:11" x14ac:dyDescent="0.35">
      <c r="A6" s="51" t="s">
        <v>166</v>
      </c>
      <c r="B6" s="68">
        <v>0.13263888888888889</v>
      </c>
      <c r="C6" s="68">
        <v>0.13263888888888889</v>
      </c>
      <c r="D6" s="68">
        <v>0.13263888888888889</v>
      </c>
      <c r="E6" s="68">
        <v>0.45833333333333331</v>
      </c>
      <c r="F6" s="51" t="s">
        <v>24</v>
      </c>
      <c r="G6" s="68">
        <v>7.6388888888888886E-3</v>
      </c>
      <c r="H6" s="68">
        <v>0.38263888888888886</v>
      </c>
      <c r="I6" s="68">
        <v>7.6388888888888886E-3</v>
      </c>
      <c r="J6" s="68">
        <v>0.29930555555555555</v>
      </c>
      <c r="K6" s="68">
        <v>0.21597222222222223</v>
      </c>
    </row>
    <row r="7" spans="1:11" x14ac:dyDescent="0.35">
      <c r="A7" s="51" t="s">
        <v>57</v>
      </c>
      <c r="B7" s="68">
        <v>0.17430555555555555</v>
      </c>
      <c r="C7" s="68">
        <v>0.46527777777777779</v>
      </c>
      <c r="D7" s="68">
        <v>0.4597222222222222</v>
      </c>
      <c r="E7" s="68">
        <v>0.46041666666666664</v>
      </c>
      <c r="F7" s="68">
        <v>4.9305555555555554E-2</v>
      </c>
      <c r="G7" s="51" t="s">
        <v>24</v>
      </c>
      <c r="H7" s="68">
        <v>0.13263888888888889</v>
      </c>
      <c r="I7" s="68">
        <v>0.42430555555555555</v>
      </c>
      <c r="J7" s="68">
        <v>0.46527777777777779</v>
      </c>
      <c r="K7" s="68">
        <v>0.38263888888888886</v>
      </c>
    </row>
    <row r="8" spans="1:11" x14ac:dyDescent="0.35">
      <c r="A8" s="51" t="s">
        <v>58</v>
      </c>
      <c r="B8" s="68">
        <v>0.13263888888888889</v>
      </c>
      <c r="C8" s="68">
        <v>0.17430555555555555</v>
      </c>
      <c r="D8" s="68">
        <v>0.4597222222222222</v>
      </c>
      <c r="E8" s="68">
        <v>0.46458333333333335</v>
      </c>
      <c r="F8" s="68">
        <v>0.42430555555555555</v>
      </c>
      <c r="G8" s="68">
        <v>0.46458333333333335</v>
      </c>
      <c r="H8" s="51" t="s">
        <v>24</v>
      </c>
      <c r="I8" s="68">
        <v>0.46458333333333335</v>
      </c>
      <c r="J8" s="68">
        <v>0.13263888888888889</v>
      </c>
      <c r="K8" s="68">
        <v>0.46527777777777779</v>
      </c>
    </row>
    <row r="9" spans="1:11" x14ac:dyDescent="0.35">
      <c r="A9" s="51" t="s">
        <v>181</v>
      </c>
      <c r="B9" s="68">
        <v>0.46319444444444446</v>
      </c>
      <c r="C9" s="68">
        <v>0.46458333333333335</v>
      </c>
      <c r="D9" s="68">
        <v>0.25694444444444442</v>
      </c>
      <c r="E9" s="68">
        <v>0.46111111111111114</v>
      </c>
      <c r="F9" s="68">
        <v>0.46319444444444446</v>
      </c>
      <c r="G9" s="68">
        <v>0.46388888888888891</v>
      </c>
      <c r="H9" s="68">
        <v>9.0972222222222218E-2</v>
      </c>
      <c r="I9" s="51" t="s">
        <v>24</v>
      </c>
      <c r="J9" s="68">
        <v>0.46527777777777779</v>
      </c>
      <c r="K9" s="68">
        <v>0.46319444444444446</v>
      </c>
    </row>
    <row r="10" spans="1:11" x14ac:dyDescent="0.35">
      <c r="A10" s="51" t="s">
        <v>167</v>
      </c>
      <c r="B10" s="68">
        <v>0.13263888888888889</v>
      </c>
      <c r="C10" s="68">
        <v>0.46180555555555558</v>
      </c>
      <c r="D10" s="68">
        <v>0.46111111111111114</v>
      </c>
      <c r="E10" s="68">
        <v>0.46319444444444446</v>
      </c>
      <c r="F10" s="68">
        <v>0.46388888888888891</v>
      </c>
      <c r="G10" s="68">
        <v>0.13263888888888889</v>
      </c>
      <c r="H10" s="68">
        <v>0.13263888888888889</v>
      </c>
      <c r="I10" s="68">
        <v>0.29930555555555555</v>
      </c>
      <c r="J10" s="51" t="s">
        <v>24</v>
      </c>
      <c r="K10" s="68">
        <v>0.46458333333333335</v>
      </c>
    </row>
    <row r="11" spans="1:11" x14ac:dyDescent="0.35">
      <c r="A11" s="51" t="s">
        <v>60</v>
      </c>
      <c r="B11" s="68">
        <v>0.34097222222222223</v>
      </c>
      <c r="C11" s="68">
        <v>0.46250000000000002</v>
      </c>
      <c r="D11" s="68">
        <v>0.38263888888888886</v>
      </c>
      <c r="E11" s="68">
        <v>0.42430555555555555</v>
      </c>
      <c r="F11" s="68">
        <v>0.46388888888888891</v>
      </c>
      <c r="G11" s="68">
        <v>0.38263888888888886</v>
      </c>
      <c r="H11" s="68">
        <v>4.9305555555555554E-2</v>
      </c>
      <c r="I11" s="68">
        <v>0.46250000000000002</v>
      </c>
      <c r="J11" s="68">
        <v>0.46388888888888891</v>
      </c>
      <c r="K11" s="51" t="s">
        <v>24</v>
      </c>
    </row>
    <row r="12" spans="1:11" x14ac:dyDescent="0.35">
      <c r="A12" t="s">
        <v>248</v>
      </c>
    </row>
  </sheetData>
  <hyperlinks>
    <hyperlink ref="C2" r:id="rId1" location="end" display="http://dailygammon.com/bg/game/5128914/0/list - end" xr:uid="{4CE65949-9C0C-4A5D-8FB1-9CA8C7C26476}"/>
    <hyperlink ref="D2" r:id="rId2" location="end" display="http://dailygammon.com/bg/game/5129113/0/list - end" xr:uid="{15673409-2C6B-4721-B3AF-9C7CBE7078B5}"/>
    <hyperlink ref="E2" r:id="rId3" location="end" display="http://dailygammon.com/bg/game/5129255/0/list - end" xr:uid="{A46E862C-CF65-4FB9-A413-A88DD8BB6A5C}"/>
    <hyperlink ref="F2" r:id="rId4" location="end" display="http://dailygammon.com/bg/game/5128877/0/list - end" xr:uid="{D99751E2-5DCD-4AA6-9B71-591BAC774EAC}"/>
    <hyperlink ref="G2" r:id="rId5" location="end" display="http://dailygammon.com/bg/game/5129780/0/list - end" xr:uid="{548081AB-67D4-4FDE-A788-8996AA43FE7A}"/>
    <hyperlink ref="H2" r:id="rId6" location="end" display="http://dailygammon.com/bg/game/5129063/0/list - end" xr:uid="{DB25B315-04B0-4A07-BAAA-DBDF83C488D5}"/>
    <hyperlink ref="I2" r:id="rId7" location="end" display="http://dailygammon.com/bg/game/5128973/0/list - end" xr:uid="{CDDB32BC-90D4-48AC-A748-60C314FE8F59}"/>
    <hyperlink ref="J2" r:id="rId8" location="end" display="http://dailygammon.com/bg/game/5128981/0/list - end" xr:uid="{BE6DEB8D-3EEA-4726-9E4D-B52753FDDEE0}"/>
    <hyperlink ref="K2" r:id="rId9" location="end" display="http://dailygammon.com/bg/game/5128885/0/list - end" xr:uid="{2C91DF47-5B9B-4EBC-B044-B4B2A68266C4}"/>
    <hyperlink ref="B3" r:id="rId10" location="end" display="http://dailygammon.com/bg/game/5127964/0/list - end" xr:uid="{74BC27FD-6B4C-45A3-93DF-33B02B0AABD1}"/>
    <hyperlink ref="D3" r:id="rId11" location="end" display="http://dailygammon.com/bg/game/5128842/0/list - end" xr:uid="{5405307F-5B47-410D-B6BA-05407EC87F43}"/>
    <hyperlink ref="E3" r:id="rId12" location="end" display="http://dailygammon.com/bg/game/5129250/0/list - end" xr:uid="{CC0B1982-1FFA-41C2-9C00-FC11B52F0C39}"/>
    <hyperlink ref="F3" r:id="rId13" location="end" display="http://dailygammon.com/bg/game/5127966/0/list - end" xr:uid="{2B08A82B-B1B0-4001-9AEF-1CCAF00C07EB}"/>
    <hyperlink ref="G3" r:id="rId14" location="end" display="http://dailygammon.com/bg/game/5129781/0/list - end" xr:uid="{0542EEAF-8091-4183-885E-72E10C10110C}"/>
    <hyperlink ref="H3" r:id="rId15" location="end" display="http://dailygammon.com/bg/game/5127974/0/list - end" xr:uid="{08D619BE-BA54-44A4-B049-32E5B1B9FEB1}"/>
    <hyperlink ref="I3" r:id="rId16" location="end" display="http://dailygammon.com/bg/game/5128155/0/list - end" xr:uid="{1638DA97-93BF-415F-8FA1-5FD289BF0622}"/>
    <hyperlink ref="J3" r:id="rId17" location="end" display="http://dailygammon.com/bg/game/5128151/0/list - end" xr:uid="{C0D0E42D-8C05-4B4C-BA0A-97FEC3EFB5C3}"/>
    <hyperlink ref="K3" r:id="rId18" location="end" display="http://dailygammon.com/bg/game/5128298/0/list - end" xr:uid="{375E95FD-C0E1-44D8-913C-6B47AA81A555}"/>
    <hyperlink ref="B4" r:id="rId19" location="end" display="http://dailygammon.com/bg/game/5129788/0/list - end" xr:uid="{DDD08BBD-43E7-400D-8021-591102136A33}"/>
    <hyperlink ref="C4" r:id="rId20" location="end" display="http://dailygammon.com/bg/game/5129729/0/list - end" xr:uid="{19C1D4B3-AF78-4A83-8852-06554C4F1ED4}"/>
    <hyperlink ref="E4" r:id="rId21" location="end" display="http://dailygammon.com/bg/game/5129815/0/list - end" xr:uid="{3C4AAA4B-86B8-46E8-A48D-A9B86E58844A}"/>
    <hyperlink ref="F4" r:id="rId22" location="end" display="http://dailygammon.com/bg/game/5129712/0/list - end" xr:uid="{F34857B2-1A30-4054-B3F3-7FDBE362100C}"/>
    <hyperlink ref="G4" r:id="rId23" location="end" display="http://dailygammon.com/bg/game/5129778/0/list - end" xr:uid="{0B3FA3A0-F562-43C0-8F1D-79D976B868C0}"/>
    <hyperlink ref="H4" r:id="rId24" location="end" display="http://dailygammon.com/bg/game/5129693/0/list - end" xr:uid="{BEF960E6-DC8A-429D-A7CA-728425F3B014}"/>
    <hyperlink ref="I4" r:id="rId25" location="end" display="http://dailygammon.com/bg/game/5129718/0/list - end" xr:uid="{837C8B6B-F01D-4444-BD89-C09588DBDC4E}"/>
    <hyperlink ref="J4" r:id="rId26" location="end" display="http://dailygammon.com/bg/game/5129661/0/list - end" xr:uid="{086AC734-DA97-4B3A-BFFD-628E0DCEEE80}"/>
    <hyperlink ref="K4" r:id="rId27" location="end" display="http://dailygammon.com/bg/game/5129665/0/list - end" xr:uid="{7DE6A653-6B7D-48B2-BA76-AA58083A5CBC}"/>
    <hyperlink ref="B5" r:id="rId28" location="end" display="http://dailygammon.com/bg/game/5129278/0/list - end" xr:uid="{8B373B2C-83B1-4C7F-B432-819E6C210AF7}"/>
    <hyperlink ref="C5" r:id="rId29" location="end" display="http://dailygammon.com/bg/game/5129257/0/list - end" xr:uid="{5931C81D-F1D6-4A19-894C-9DFC3A194769}"/>
    <hyperlink ref="D5" r:id="rId30" location="end" display="http://dailygammon.com/bg/game/5129615/0/list - end" xr:uid="{1F1EA8C3-8F43-44FE-A03A-AFE0CC55AE76}"/>
    <hyperlink ref="F5" r:id="rId31" location="end" display="http://dailygammon.com/bg/game/5129261/0/list - end" xr:uid="{412CDE46-012F-4837-8FFF-27B2D76BD44A}"/>
    <hyperlink ref="G5" r:id="rId32" location="end" display="http://dailygammon.com/bg/game/5129782/0/list - end" xr:uid="{AC354DBD-887D-4E70-A729-F9E00211AA4A}"/>
    <hyperlink ref="H5" r:id="rId33" location="end" display="http://dailygammon.com/bg/game/5129275/0/list - end" xr:uid="{18223FE8-5CEB-431A-AC0C-C1C1EF1C957C}"/>
    <hyperlink ref="I5" r:id="rId34" location="end" display="http://dailygammon.com/bg/game/5129258/0/list - end" xr:uid="{6B46C951-ABB0-4DC0-AC96-0B09FCA7DC63}"/>
    <hyperlink ref="J5" r:id="rId35" location="end" display="http://dailygammon.com/bg/game/5129260/0/list - end" xr:uid="{03BDA1D8-699C-42CC-A79A-1D84E50E6761}"/>
    <hyperlink ref="K5" r:id="rId36" location="end" display="http://dailygammon.com/bg/game/5129355/0/list - end" xr:uid="{7273C365-B654-40F9-9253-12831D893098}"/>
    <hyperlink ref="B6" r:id="rId37" location="end" display="http://dailygammon.com/bg/game/5128614/0/list - end" xr:uid="{5016D59F-0952-4B30-8843-E5D49FA75D75}"/>
    <hyperlink ref="C6" r:id="rId38" location="end" display="http://dailygammon.com/bg/game/5128316/0/list - end" xr:uid="{86E72FCF-C8AC-4C8F-8AEF-85D5537B8AA4}"/>
    <hyperlink ref="D6" r:id="rId39" location="end" display="http://dailygammon.com/bg/game/5128844/0/list - end" xr:uid="{DBDB6156-C67F-436A-A3F6-878D676850A4}"/>
    <hyperlink ref="E6" r:id="rId40" location="end" display="http://dailygammon.com/bg/game/5129254/0/list - end" xr:uid="{84D7D11C-2918-47DF-B41F-381C0C35AE60}"/>
    <hyperlink ref="G6" r:id="rId41" location="end" display="http://dailygammon.com/bg/game/5129777/0/list - end" xr:uid="{7D9DFAC0-1692-4FFA-9B5C-3769E09277EC}"/>
    <hyperlink ref="H6" r:id="rId42" location="end" display="http://dailygammon.com/bg/game/5128591/0/list - end" xr:uid="{4C30EA6B-F371-48FA-BCF0-A6DB5B8C4D19}"/>
    <hyperlink ref="I6" r:id="rId43" location="end" display="http://dailygammon.com/bg/game/5128707/0/list - end" xr:uid="{C4DBFBB9-EA92-4A4D-A63B-A8E6EED8DAAE}"/>
    <hyperlink ref="J6" r:id="rId44" location="end" display="http://dailygammon.com/bg/game/5128413/0/list - end" xr:uid="{9370A143-B688-416E-91C3-CDB534F359B8}"/>
    <hyperlink ref="K6" r:id="rId45" location="end" display="http://dailygammon.com/bg/game/5128296/0/list - end" xr:uid="{547C5E70-0D8A-4391-B166-1C67D4CA94D9}"/>
    <hyperlink ref="B7" r:id="rId46" location="end" display="http://dailygammon.com/bg/game/5129789/0/list - end" xr:uid="{7C252194-315D-415C-B710-FDD62DE91680}"/>
    <hyperlink ref="C7" r:id="rId47" location="end" display="http://dailygammon.com/bg/game/5129783/0/list - end" xr:uid="{2195DF55-D56C-49D3-BBA7-46009F438E3F}"/>
    <hyperlink ref="D7" r:id="rId48" location="end" display="http://dailygammon.com/bg/game/5129890/0/list - end" xr:uid="{F13DC60B-608C-4307-98AF-243FA46818AA}"/>
    <hyperlink ref="E7" r:id="rId49" location="end" display="http://dailygammon.com/bg/game/5129814/0/list - end" xr:uid="{8CAC78A1-32F9-49E6-96DF-51DFB6A2DBA6}"/>
    <hyperlink ref="F7" r:id="rId50" location="end" display="http://dailygammon.com/bg/game/5129784/0/list - end" xr:uid="{F8A561BD-33C3-4B48-81E7-6A8F6FF2525E}"/>
    <hyperlink ref="H7" r:id="rId51" location="end" display="http://dailygammon.com/bg/game/5129818/0/list - end" xr:uid="{C24DF105-1CA6-456E-9B93-1B289A51AB01}"/>
    <hyperlink ref="I7" r:id="rId52" location="end" display="http://dailygammon.com/bg/game/5129811/0/list - end" xr:uid="{7A2EFB8A-BF21-4AD8-B13F-A644D49C37B6}"/>
    <hyperlink ref="J7" r:id="rId53" location="end" display="http://dailygammon.com/bg/game/5129847/0/list - end" xr:uid="{7210D78C-C301-4017-AB69-6A47DDFD189D}"/>
    <hyperlink ref="K7" r:id="rId54" location="end" display="http://dailygammon.com/bg/game/5129893/0/list - end" xr:uid="{8E73FC5C-B402-4A73-93F6-5CC24917E7F9}"/>
    <hyperlink ref="B8" r:id="rId55" location="end" display="http://dailygammon.com/bg/game/5127880/0/list - end" xr:uid="{3962052B-0407-46E8-BA9E-6723C6910D8F}"/>
    <hyperlink ref="C8" r:id="rId56" location="end" display="http://dailygammon.com/bg/game/5127953/0/list - end" xr:uid="{F3453235-11F4-4CA3-A4A3-2E33081F3186}"/>
    <hyperlink ref="D8" r:id="rId57" location="end" display="http://dailygammon.com/bg/game/5127694/0/list - end" xr:uid="{F07ABD29-7EBC-4211-8AC9-5F6E76ABA3D3}"/>
    <hyperlink ref="E8" r:id="rId58" location="end" display="http://dailygammon.com/bg/game/5129251/0/list - end" xr:uid="{AC683031-5BF4-4445-94E7-867BE51DA9A4}"/>
    <hyperlink ref="F8" r:id="rId59" location="end" display="http://dailygammon.com/bg/game/5127638/0/list - end" xr:uid="{1085E08A-6C03-4BDF-AF93-5E1722B8427C}"/>
    <hyperlink ref="G8" r:id="rId60" location="end" display="http://dailygammon.com/bg/game/5129779/0/list - end" xr:uid="{CE9341A7-5A83-4DAF-90A6-5A718FD5B97D}"/>
    <hyperlink ref="I8" r:id="rId61" location="end" display="http://dailygammon.com/bg/game/5127729/0/list - end" xr:uid="{A5AB70ED-8AB1-4695-87A4-6E32CB4EDCC1}"/>
    <hyperlink ref="J8" r:id="rId62" location="end" display="http://dailygammon.com/bg/game/5127739/0/list - end" xr:uid="{9634BDCB-1F8E-4AF4-97F2-745EF65861D0}"/>
    <hyperlink ref="K8" r:id="rId63" location="end" display="http://dailygammon.com/bg/game/5127642/0/list - end" xr:uid="{01DFB021-F65D-4DCB-8C65-B95F1D9BF40B}"/>
    <hyperlink ref="B9" r:id="rId64" location="end" display="http://dailygammon.com/bg/game/5127882/0/list - end" xr:uid="{6034A3DD-B62B-4C04-8ADB-3C37A45FC37C}"/>
    <hyperlink ref="C9" r:id="rId65" location="end" display="http://dailygammon.com/bg/game/5127951/0/list - end" xr:uid="{BE1FAB2E-5F53-4836-91A7-9AA0416B2B77}"/>
    <hyperlink ref="D9" r:id="rId66" location="end" display="http://dailygammon.com/bg/game/5128840/0/list - end" xr:uid="{D5F1327B-2919-43AE-BA4A-9549D23FB3C5}"/>
    <hyperlink ref="E9" r:id="rId67" location="end" display="http://dailygammon.com/bg/game/5129249/0/list - end" xr:uid="{C5C45B7A-B4B7-4B14-87DB-A6DFF2AAEE61}"/>
    <hyperlink ref="F9" r:id="rId68" location="end" display="http://dailygammon.com/bg/game/5127847/0/list - end" xr:uid="{DCECA325-CA23-4087-B3CC-D8863BEFCB60}"/>
    <hyperlink ref="G9" r:id="rId69" location="end" display="http://dailygammon.com/bg/game/5129776/0/list - end" xr:uid="{46447174-3B2A-439D-A56D-BD49F7906488}"/>
    <hyperlink ref="H9" r:id="rId70" location="end" display="http://dailygammon.com/bg/game/5127824/0/list - end" xr:uid="{E43C0C66-AA39-4C6C-B052-1B426504AA1B}"/>
    <hyperlink ref="J9" r:id="rId71" location="end" display="http://dailygammon.com/bg/game/5127836/0/list - end" xr:uid="{450AFB7A-9AD7-4729-9079-E923ACF90866}"/>
    <hyperlink ref="K9" r:id="rId72" location="end" display="http://dailygammon.com/bg/game/5128299/0/list - end" xr:uid="{ED2E82C3-7917-48C5-9D56-EB6238C96691}"/>
    <hyperlink ref="B10" r:id="rId73" location="end" display="http://dailygammon.com/bg/game/5127879/0/list - end" xr:uid="{64926233-B3BE-46EF-AABB-13FD3F000DE0}"/>
    <hyperlink ref="C10" r:id="rId74" location="end" display="http://dailygammon.com/bg/game/5127952/0/list - end" xr:uid="{D3440D4E-452C-4A2D-B2FF-A24924975D83}"/>
    <hyperlink ref="D10" r:id="rId75" location="end" display="http://dailygammon.com/bg/game/5128843/0/list - end" xr:uid="{46BBA974-2CBD-4517-8DED-CB8FEA247285}"/>
    <hyperlink ref="E10" r:id="rId76" location="end" display="http://dailygammon.com/bg/game/5129252/0/list - end" xr:uid="{BC9CB8E9-77AC-4645-89EB-F04E97538D56}"/>
    <hyperlink ref="F10" r:id="rId77" location="end" display="http://dailygammon.com/bg/game/5127848/0/list - end" xr:uid="{05A88D5E-7FA6-40A3-B08A-CA4F94CE3550}"/>
    <hyperlink ref="G10" r:id="rId78" location="end" display="http://dailygammon.com/bg/game/5129774/0/list - end" xr:uid="{C116942E-ED3A-4F9B-A485-75062C631B95}"/>
    <hyperlink ref="H10" r:id="rId79" location="end" display="http://dailygammon.com/bg/game/5127778/0/list - end" xr:uid="{6B3D2B6B-C9AF-4CCF-982B-493D30DDBDDC}"/>
    <hyperlink ref="I10" r:id="rId80" location="end" display="http://dailygammon.com/bg/game/5127781/0/list - end" xr:uid="{5E687809-D76C-4603-B7EC-E5AF7F325D48}"/>
    <hyperlink ref="K10" r:id="rId81" location="end" display="http://dailygammon.com/bg/game/5128297/0/list - end" xr:uid="{95E1EDFE-F678-493F-B005-9919B0816693}"/>
    <hyperlink ref="B11" r:id="rId82" location="end" display="http://dailygammon.com/bg/game/5127881/0/list - end" xr:uid="{DE9914BD-EEEE-48F6-A71C-5F9EDD602D87}"/>
    <hyperlink ref="C11" r:id="rId83" location="end" display="http://dailygammon.com/bg/game/5127955/0/list - end" xr:uid="{907856CF-C9F6-4BF9-9106-C3A59FB90141}"/>
    <hyperlink ref="D11" r:id="rId84" location="end" display="http://dailygammon.com/bg/game/5127695/0/list - end" xr:uid="{1E59A5CD-2BEC-42F2-8C3A-DF8F0B4D647B}"/>
    <hyperlink ref="E11" r:id="rId85" location="end" display="http://dailygammon.com/bg/game/5129253/0/list - end" xr:uid="{3EB5DD6C-2501-4238-915B-27EC89117642}"/>
    <hyperlink ref="F11" r:id="rId86" location="end" display="http://dailygammon.com/bg/game/5127626/0/list - end" xr:uid="{29DFFB4C-26F6-497D-A406-A8E1AD982CB4}"/>
    <hyperlink ref="G11" r:id="rId87" location="end" display="http://dailygammon.com/bg/game/5129775/0/list - end" xr:uid="{6D36A230-06C4-44C0-9025-24B04E83F474}"/>
    <hyperlink ref="H11" r:id="rId88" location="end" display="http://dailygammon.com/bg/game/5127635/0/list - end" xr:uid="{20AB7D66-EDB1-423F-B130-F6701EB7C79E}"/>
    <hyperlink ref="I11" r:id="rId89" location="end" display="http://dailygammon.com/bg/game/5127730/0/list - end" xr:uid="{E8E49DD9-48BF-4E6C-BF12-14FE2121334C}"/>
    <hyperlink ref="J11" r:id="rId90" location="end" display="http://dailygammon.com/bg/game/5127740/0/list - end" xr:uid="{A742A063-5E25-4359-839A-24BF4AA2C28E}"/>
  </hyperlinks>
  <pageMargins left="0.7" right="0.7" top="0.78740157499999996" bottom="0.78740157499999996" header="0.3" footer="0.3"/>
  <pageSetup paperSize="9" orientation="portrait" r:id="rId9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8E60E-8204-471A-B6E0-2776F1FBA290}">
  <sheetPr codeName="Tabelle7"/>
  <dimension ref="A1:K12"/>
  <sheetViews>
    <sheetView workbookViewId="0">
      <selection sqref="A1:K12"/>
    </sheetView>
  </sheetViews>
  <sheetFormatPr baseColWidth="10" defaultColWidth="30.08984375" defaultRowHeight="14.5" x14ac:dyDescent="0.35"/>
  <cols>
    <col min="1" max="1" width="18.453125" style="67" customWidth="1"/>
    <col min="2" max="2" width="7.36328125" style="67" bestFit="1" customWidth="1"/>
    <col min="3" max="3" width="4.54296875" style="67" bestFit="1" customWidth="1"/>
    <col min="4" max="4" width="4" style="67" bestFit="1" customWidth="1"/>
    <col min="5" max="5" width="6.453125" style="67" bestFit="1" customWidth="1"/>
    <col min="6" max="6" width="10.36328125" style="67" bestFit="1" customWidth="1"/>
    <col min="7" max="7" width="4" style="67" bestFit="1" customWidth="1"/>
    <col min="8" max="8" width="4.90625" style="67" bestFit="1" customWidth="1"/>
    <col min="9" max="9" width="14.6328125" style="67" bestFit="1" customWidth="1"/>
    <col min="10" max="10" width="4" style="67" bestFit="1" customWidth="1"/>
    <col min="11" max="11" width="4.90625" style="67" bestFit="1" customWidth="1"/>
    <col min="12" max="16384" width="30.08984375" style="67"/>
  </cols>
  <sheetData>
    <row r="1" spans="1:11" x14ac:dyDescent="0.35">
      <c r="F1" s="67" t="s">
        <v>15</v>
      </c>
      <c r="I1" s="67" t="s">
        <v>12</v>
      </c>
    </row>
    <row r="2" spans="1:11" x14ac:dyDescent="0.35">
      <c r="B2" s="67" t="s">
        <v>7</v>
      </c>
      <c r="C2" s="67" t="s">
        <v>11</v>
      </c>
      <c r="D2" s="67" t="s">
        <v>10</v>
      </c>
      <c r="E2" s="67" t="s">
        <v>178</v>
      </c>
      <c r="F2" s="67" t="s">
        <v>0</v>
      </c>
      <c r="G2" s="67" t="s">
        <v>1</v>
      </c>
      <c r="H2" s="67" t="s">
        <v>8</v>
      </c>
      <c r="I2" s="67" t="s">
        <v>0</v>
      </c>
      <c r="J2" s="67" t="s">
        <v>1</v>
      </c>
      <c r="K2" s="67" t="s">
        <v>8</v>
      </c>
    </row>
    <row r="3" spans="1:11" x14ac:dyDescent="0.35">
      <c r="A3" s="67" t="s">
        <v>58</v>
      </c>
      <c r="B3" s="67" t="s">
        <v>204</v>
      </c>
      <c r="C3" s="67" t="s">
        <v>205</v>
      </c>
      <c r="D3" s="67" t="s">
        <v>189</v>
      </c>
      <c r="E3" s="67" t="s">
        <v>206</v>
      </c>
      <c r="F3" s="67" t="s">
        <v>207</v>
      </c>
      <c r="G3" s="67" t="s">
        <v>197</v>
      </c>
      <c r="H3" s="67" t="s">
        <v>208</v>
      </c>
      <c r="I3" s="67" t="s">
        <v>207</v>
      </c>
      <c r="J3" s="67" t="s">
        <v>197</v>
      </c>
      <c r="K3" s="67" t="s">
        <v>208</v>
      </c>
    </row>
    <row r="4" spans="1:11" x14ac:dyDescent="0.35">
      <c r="A4" s="67" t="s">
        <v>181</v>
      </c>
      <c r="B4" s="67" t="s">
        <v>200</v>
      </c>
      <c r="C4" s="25" t="s">
        <v>216</v>
      </c>
      <c r="D4" s="67" t="s">
        <v>189</v>
      </c>
      <c r="E4" s="67" t="s">
        <v>232</v>
      </c>
      <c r="F4" s="25" t="s">
        <v>233</v>
      </c>
      <c r="G4" s="25" t="s">
        <v>234</v>
      </c>
      <c r="H4" s="67" t="s">
        <v>226</v>
      </c>
      <c r="I4" s="25" t="s">
        <v>224</v>
      </c>
      <c r="J4" s="25" t="s">
        <v>213</v>
      </c>
      <c r="K4" s="25" t="s">
        <v>235</v>
      </c>
    </row>
    <row r="5" spans="1:11" x14ac:dyDescent="0.35">
      <c r="A5" s="67" t="s">
        <v>167</v>
      </c>
      <c r="B5" s="67" t="s">
        <v>204</v>
      </c>
      <c r="C5" s="67" t="s">
        <v>194</v>
      </c>
      <c r="D5" s="67" t="s">
        <v>193</v>
      </c>
      <c r="E5" s="67" t="s">
        <v>215</v>
      </c>
      <c r="F5" s="67" t="s">
        <v>201</v>
      </c>
      <c r="G5" s="67" t="s">
        <v>211</v>
      </c>
      <c r="H5" s="67" t="s">
        <v>216</v>
      </c>
      <c r="I5" s="67" t="s">
        <v>201</v>
      </c>
      <c r="J5" s="67" t="s">
        <v>211</v>
      </c>
      <c r="K5" s="67" t="s">
        <v>216</v>
      </c>
    </row>
    <row r="6" spans="1:11" x14ac:dyDescent="0.35">
      <c r="A6" s="67" t="s">
        <v>57</v>
      </c>
      <c r="B6" s="67" t="s">
        <v>204</v>
      </c>
      <c r="C6" s="67" t="s">
        <v>198</v>
      </c>
      <c r="D6" s="67" t="s">
        <v>198</v>
      </c>
      <c r="E6" s="67" t="s">
        <v>192</v>
      </c>
      <c r="F6" s="67" t="s">
        <v>202</v>
      </c>
      <c r="G6" s="67" t="s">
        <v>209</v>
      </c>
      <c r="H6" s="67" t="s">
        <v>210</v>
      </c>
      <c r="I6" s="67" t="s">
        <v>202</v>
      </c>
      <c r="J6" s="67" t="s">
        <v>209</v>
      </c>
      <c r="K6" s="67" t="s">
        <v>210</v>
      </c>
    </row>
    <row r="7" spans="1:11" x14ac:dyDescent="0.35">
      <c r="A7" s="67" t="s">
        <v>60</v>
      </c>
      <c r="B7" s="67" t="s">
        <v>204</v>
      </c>
      <c r="C7" s="67" t="s">
        <v>198</v>
      </c>
      <c r="D7" s="25" t="s">
        <v>198</v>
      </c>
      <c r="E7" s="67" t="s">
        <v>192</v>
      </c>
      <c r="F7" s="67" t="s">
        <v>217</v>
      </c>
      <c r="G7" s="25" t="s">
        <v>229</v>
      </c>
      <c r="H7" s="25" t="s">
        <v>194</v>
      </c>
      <c r="I7" s="25" t="s">
        <v>217</v>
      </c>
      <c r="J7" s="25" t="s">
        <v>229</v>
      </c>
      <c r="K7" s="25" t="s">
        <v>194</v>
      </c>
    </row>
    <row r="8" spans="1:11" x14ac:dyDescent="0.35">
      <c r="A8" s="67" t="s">
        <v>54</v>
      </c>
      <c r="B8" s="67" t="s">
        <v>195</v>
      </c>
      <c r="C8" s="67" t="s">
        <v>198</v>
      </c>
      <c r="D8" s="67" t="s">
        <v>196</v>
      </c>
      <c r="E8" s="67" t="s">
        <v>215</v>
      </c>
      <c r="F8" s="67" t="s">
        <v>227</v>
      </c>
      <c r="G8" s="25" t="s">
        <v>236</v>
      </c>
      <c r="H8" s="25" t="s">
        <v>203</v>
      </c>
      <c r="I8" s="67" t="s">
        <v>219</v>
      </c>
      <c r="J8" s="67" t="s">
        <v>212</v>
      </c>
      <c r="K8" s="67" t="s">
        <v>203</v>
      </c>
    </row>
    <row r="9" spans="1:11" x14ac:dyDescent="0.35">
      <c r="A9" s="67" t="s">
        <v>165</v>
      </c>
      <c r="B9" s="67" t="s">
        <v>204</v>
      </c>
      <c r="C9" s="25" t="s">
        <v>196</v>
      </c>
      <c r="D9" s="67" t="s">
        <v>199</v>
      </c>
      <c r="E9" s="67" t="s">
        <v>237</v>
      </c>
      <c r="F9" s="25" t="s">
        <v>214</v>
      </c>
      <c r="G9" s="25" t="s">
        <v>238</v>
      </c>
      <c r="H9" s="67" t="s">
        <v>228</v>
      </c>
      <c r="I9" s="25" t="s">
        <v>214</v>
      </c>
      <c r="J9" s="25" t="s">
        <v>238</v>
      </c>
      <c r="K9" s="25" t="s">
        <v>228</v>
      </c>
    </row>
    <row r="10" spans="1:11" x14ac:dyDescent="0.35">
      <c r="A10" s="67" t="s">
        <v>180</v>
      </c>
      <c r="B10" s="67" t="s">
        <v>200</v>
      </c>
      <c r="C10" s="67" t="s">
        <v>190</v>
      </c>
      <c r="D10" s="67" t="s">
        <v>199</v>
      </c>
      <c r="E10" s="67" t="s">
        <v>220</v>
      </c>
      <c r="F10" s="25" t="s">
        <v>239</v>
      </c>
      <c r="G10" s="25" t="s">
        <v>201</v>
      </c>
      <c r="H10" s="25" t="s">
        <v>240</v>
      </c>
      <c r="I10" s="67" t="s">
        <v>221</v>
      </c>
      <c r="J10" s="67" t="s">
        <v>222</v>
      </c>
      <c r="K10" s="67" t="s">
        <v>223</v>
      </c>
    </row>
    <row r="11" spans="1:11" x14ac:dyDescent="0.35">
      <c r="A11" s="67" t="s">
        <v>166</v>
      </c>
      <c r="B11" s="67" t="s">
        <v>204</v>
      </c>
      <c r="C11" s="67" t="s">
        <v>191</v>
      </c>
      <c r="D11" s="67" t="s">
        <v>216</v>
      </c>
      <c r="E11" s="67" t="s">
        <v>230</v>
      </c>
      <c r="F11" s="67" t="s">
        <v>231</v>
      </c>
      <c r="G11" s="67" t="s">
        <v>218</v>
      </c>
      <c r="H11" s="67" t="s">
        <v>225</v>
      </c>
      <c r="I11" s="67" t="s">
        <v>231</v>
      </c>
      <c r="J11" s="67" t="s">
        <v>218</v>
      </c>
      <c r="K11" s="67" t="s">
        <v>225</v>
      </c>
    </row>
    <row r="12" spans="1:11" x14ac:dyDescent="0.35">
      <c r="A12" s="67" t="s">
        <v>55</v>
      </c>
      <c r="B12" s="67" t="s">
        <v>241</v>
      </c>
      <c r="C12" s="25" t="s">
        <v>189</v>
      </c>
      <c r="D12" s="25" t="s">
        <v>194</v>
      </c>
      <c r="E12" s="67" t="s">
        <v>242</v>
      </c>
      <c r="F12" s="25" t="s">
        <v>212</v>
      </c>
      <c r="G12" s="25" t="s">
        <v>243</v>
      </c>
      <c r="H12" s="25" t="s">
        <v>244</v>
      </c>
      <c r="I12" s="25" t="s">
        <v>245</v>
      </c>
      <c r="J12" s="25" t="s">
        <v>246</v>
      </c>
      <c r="K12" s="25" t="s">
        <v>247</v>
      </c>
    </row>
  </sheetData>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69A73-DB43-418B-BA20-970C7C88AD3D}">
  <sheetPr codeName="Tabelle10"/>
  <dimension ref="A1:L11"/>
  <sheetViews>
    <sheetView workbookViewId="0">
      <selection activeCell="E4" sqref="E4"/>
    </sheetView>
  </sheetViews>
  <sheetFormatPr baseColWidth="10" defaultColWidth="11.54296875" defaultRowHeight="14.5" x14ac:dyDescent="0.35"/>
  <cols>
    <col min="1" max="1" width="12.90625" bestFit="1" customWidth="1"/>
    <col min="2" max="2" width="11.54296875" style="6" customWidth="1"/>
    <col min="10" max="10" width="18.36328125" bestFit="1" customWidth="1"/>
    <col min="11" max="11" width="17.90625" bestFit="1" customWidth="1"/>
  </cols>
  <sheetData>
    <row r="1" spans="1:12" x14ac:dyDescent="0.35">
      <c r="A1" t="s">
        <v>13</v>
      </c>
      <c r="B1" s="6" t="s">
        <v>40</v>
      </c>
      <c r="C1" t="s">
        <v>41</v>
      </c>
      <c r="D1" t="s">
        <v>42</v>
      </c>
      <c r="E1" t="s">
        <v>44</v>
      </c>
      <c r="F1" t="s">
        <v>45</v>
      </c>
      <c r="G1" t="s">
        <v>46</v>
      </c>
      <c r="H1" t="s">
        <v>47</v>
      </c>
      <c r="I1" t="s">
        <v>48</v>
      </c>
      <c r="J1" t="s">
        <v>49</v>
      </c>
      <c r="K1" t="s">
        <v>50</v>
      </c>
    </row>
    <row r="2" spans="1:12" x14ac:dyDescent="0.35">
      <c r="A2" t="str">
        <f>Player1</f>
        <v>andersm</v>
      </c>
      <c r="B2" s="6">
        <v>0.45</v>
      </c>
      <c r="C2">
        <v>0</v>
      </c>
      <c r="D2">
        <v>0</v>
      </c>
      <c r="E2">
        <v>18</v>
      </c>
      <c r="F2">
        <v>9</v>
      </c>
      <c r="G2">
        <f>F2/E2</f>
        <v>0.5</v>
      </c>
      <c r="H2">
        <f>ROUND(F2,0)</f>
        <v>9</v>
      </c>
      <c r="I2">
        <f>E2-H2</f>
        <v>9</v>
      </c>
      <c r="J2">
        <f>C2+H2</f>
        <v>9</v>
      </c>
      <c r="K2">
        <f>D2+I2</f>
        <v>9</v>
      </c>
      <c r="L2">
        <f>C2+D2+H2+I2</f>
        <v>18</v>
      </c>
    </row>
    <row r="3" spans="1:12" x14ac:dyDescent="0.35">
      <c r="A3" t="str">
        <f>Player2</f>
        <v>jebediasmie</v>
      </c>
      <c r="B3" s="6">
        <v>0.5</v>
      </c>
      <c r="C3">
        <v>7</v>
      </c>
      <c r="D3">
        <v>11</v>
      </c>
      <c r="E3">
        <v>0</v>
      </c>
      <c r="F3">
        <v>0</v>
      </c>
      <c r="G3" t="e">
        <f t="shared" ref="G3:G11" si="0">F3/E3</f>
        <v>#DIV/0!</v>
      </c>
      <c r="H3">
        <f t="shared" ref="H3:H11" si="1">ROUND(F3,0)</f>
        <v>0</v>
      </c>
      <c r="I3">
        <f t="shared" ref="I3:I11" si="2">E3-H3</f>
        <v>0</v>
      </c>
      <c r="J3">
        <f t="shared" ref="J3:J11" si="3">C3+H3</f>
        <v>7</v>
      </c>
      <c r="K3">
        <f t="shared" ref="K3:K11" si="4">D3+I3</f>
        <v>11</v>
      </c>
      <c r="L3">
        <f t="shared" ref="L3:L11" si="5">C3+D3+H3+I3</f>
        <v>18</v>
      </c>
    </row>
    <row r="4" spans="1:12" x14ac:dyDescent="0.35">
      <c r="A4" t="str">
        <f>Player3</f>
        <v>Michael the pariah</v>
      </c>
      <c r="B4" s="6">
        <v>0.4</v>
      </c>
      <c r="C4">
        <v>5</v>
      </c>
      <c r="D4">
        <v>13</v>
      </c>
      <c r="E4">
        <v>0</v>
      </c>
      <c r="F4">
        <v>0</v>
      </c>
      <c r="G4" t="e">
        <f t="shared" si="0"/>
        <v>#DIV/0!</v>
      </c>
      <c r="H4">
        <f t="shared" si="1"/>
        <v>0</v>
      </c>
      <c r="I4">
        <f t="shared" si="2"/>
        <v>0</v>
      </c>
      <c r="J4">
        <f t="shared" si="3"/>
        <v>5</v>
      </c>
      <c r="K4">
        <f t="shared" si="4"/>
        <v>13</v>
      </c>
      <c r="L4">
        <f t="shared" si="5"/>
        <v>18</v>
      </c>
    </row>
    <row r="5" spans="1:12" x14ac:dyDescent="0.35">
      <c r="A5" t="str">
        <f>Player4</f>
        <v>MungoMH</v>
      </c>
      <c r="B5" s="6">
        <v>0.6</v>
      </c>
      <c r="C5">
        <v>7</v>
      </c>
      <c r="D5">
        <v>11</v>
      </c>
      <c r="E5">
        <v>0</v>
      </c>
      <c r="F5">
        <v>0</v>
      </c>
      <c r="G5" t="e">
        <f t="shared" si="0"/>
        <v>#DIV/0!</v>
      </c>
      <c r="H5">
        <f t="shared" si="1"/>
        <v>0</v>
      </c>
      <c r="I5">
        <f t="shared" si="2"/>
        <v>0</v>
      </c>
      <c r="J5">
        <f t="shared" si="3"/>
        <v>7</v>
      </c>
      <c r="K5">
        <f t="shared" si="4"/>
        <v>11</v>
      </c>
      <c r="L5">
        <f t="shared" si="5"/>
        <v>18</v>
      </c>
    </row>
    <row r="6" spans="1:12" x14ac:dyDescent="0.35">
      <c r="A6" t="str">
        <f>Player5</f>
        <v>neptun</v>
      </c>
      <c r="B6" s="6">
        <v>0.3</v>
      </c>
      <c r="C6">
        <v>5</v>
      </c>
      <c r="D6">
        <v>13</v>
      </c>
      <c r="E6">
        <v>0</v>
      </c>
      <c r="F6">
        <v>0</v>
      </c>
      <c r="G6" t="e">
        <f t="shared" si="0"/>
        <v>#DIV/0!</v>
      </c>
      <c r="H6">
        <f t="shared" si="1"/>
        <v>0</v>
      </c>
      <c r="I6">
        <f t="shared" si="2"/>
        <v>0</v>
      </c>
      <c r="J6">
        <f t="shared" si="3"/>
        <v>5</v>
      </c>
      <c r="K6">
        <f t="shared" si="4"/>
        <v>13</v>
      </c>
      <c r="L6">
        <f t="shared" si="5"/>
        <v>18</v>
      </c>
    </row>
    <row r="7" spans="1:12" x14ac:dyDescent="0.35">
      <c r="A7" t="str">
        <f>Player6</f>
        <v>oldehippy</v>
      </c>
      <c r="B7" s="6">
        <v>0.4</v>
      </c>
      <c r="C7">
        <v>9</v>
      </c>
      <c r="D7">
        <v>9</v>
      </c>
      <c r="E7">
        <v>0</v>
      </c>
      <c r="F7">
        <v>0</v>
      </c>
      <c r="G7" t="e">
        <f t="shared" si="0"/>
        <v>#DIV/0!</v>
      </c>
      <c r="H7">
        <f t="shared" si="1"/>
        <v>0</v>
      </c>
      <c r="I7">
        <f t="shared" si="2"/>
        <v>0</v>
      </c>
      <c r="J7">
        <f t="shared" si="3"/>
        <v>9</v>
      </c>
      <c r="K7">
        <f t="shared" si="4"/>
        <v>9</v>
      </c>
      <c r="L7">
        <f t="shared" si="5"/>
        <v>18</v>
      </c>
    </row>
    <row r="8" spans="1:12" x14ac:dyDescent="0.35">
      <c r="A8" t="str">
        <f>Player7</f>
        <v>silvercilla</v>
      </c>
      <c r="B8" s="6">
        <v>0.25</v>
      </c>
      <c r="C8">
        <v>14</v>
      </c>
      <c r="D8">
        <v>4</v>
      </c>
      <c r="E8">
        <v>0</v>
      </c>
      <c r="F8">
        <v>0</v>
      </c>
      <c r="G8" t="e">
        <f t="shared" si="0"/>
        <v>#DIV/0!</v>
      </c>
      <c r="H8">
        <f t="shared" si="1"/>
        <v>0</v>
      </c>
      <c r="I8">
        <f t="shared" si="2"/>
        <v>0</v>
      </c>
      <c r="J8">
        <f t="shared" si="3"/>
        <v>14</v>
      </c>
      <c r="K8">
        <f t="shared" si="4"/>
        <v>4</v>
      </c>
      <c r="L8">
        <f t="shared" si="5"/>
        <v>18</v>
      </c>
    </row>
    <row r="9" spans="1:12" x14ac:dyDescent="0.35">
      <c r="A9" t="str">
        <f>Player8</f>
        <v>T.J.</v>
      </c>
      <c r="B9" s="6">
        <v>0.5</v>
      </c>
      <c r="C9">
        <v>13</v>
      </c>
      <c r="D9">
        <v>5</v>
      </c>
      <c r="E9">
        <v>0</v>
      </c>
      <c r="F9">
        <v>0</v>
      </c>
      <c r="G9" t="e">
        <f t="shared" si="0"/>
        <v>#DIV/0!</v>
      </c>
      <c r="H9">
        <f t="shared" si="1"/>
        <v>0</v>
      </c>
      <c r="I9">
        <f t="shared" si="2"/>
        <v>0</v>
      </c>
      <c r="J9">
        <f t="shared" si="3"/>
        <v>13</v>
      </c>
      <c r="K9">
        <f t="shared" si="4"/>
        <v>5</v>
      </c>
      <c r="L9">
        <f t="shared" si="5"/>
        <v>18</v>
      </c>
    </row>
    <row r="10" spans="1:12" x14ac:dyDescent="0.35">
      <c r="A10" t="str">
        <f>Player9</f>
        <v>Yolandaine</v>
      </c>
      <c r="B10" s="6">
        <v>0.45</v>
      </c>
      <c r="C10">
        <v>10</v>
      </c>
      <c r="D10">
        <v>8</v>
      </c>
      <c r="E10">
        <v>0</v>
      </c>
      <c r="F10">
        <v>0</v>
      </c>
      <c r="G10" t="e">
        <f t="shared" si="0"/>
        <v>#DIV/0!</v>
      </c>
      <c r="H10">
        <f t="shared" si="1"/>
        <v>0</v>
      </c>
      <c r="I10">
        <f t="shared" si="2"/>
        <v>0</v>
      </c>
      <c r="J10">
        <f t="shared" si="3"/>
        <v>10</v>
      </c>
      <c r="K10">
        <f t="shared" si="4"/>
        <v>8</v>
      </c>
      <c r="L10">
        <f t="shared" si="5"/>
        <v>18</v>
      </c>
    </row>
    <row r="11" spans="1:12" x14ac:dyDescent="0.35">
      <c r="A11">
        <f>Player10</f>
        <v>0</v>
      </c>
      <c r="B11" s="6">
        <v>0.4</v>
      </c>
      <c r="C11">
        <v>9</v>
      </c>
      <c r="D11">
        <v>9</v>
      </c>
      <c r="E11">
        <v>0</v>
      </c>
      <c r="F11">
        <v>0</v>
      </c>
      <c r="G11" t="e">
        <f t="shared" si="0"/>
        <v>#DIV/0!</v>
      </c>
      <c r="H11">
        <f t="shared" si="1"/>
        <v>0</v>
      </c>
      <c r="I11">
        <f t="shared" si="2"/>
        <v>0</v>
      </c>
      <c r="J11">
        <f t="shared" si="3"/>
        <v>9</v>
      </c>
      <c r="K11">
        <f t="shared" si="4"/>
        <v>9</v>
      </c>
      <c r="L11">
        <f t="shared" si="5"/>
        <v>18</v>
      </c>
    </row>
  </sheetData>
  <pageMargins left="0.7" right="0.7" top="0.78740157499999996" bottom="0.78740157499999996" header="0.3" footer="0.3"/>
  <pageSetup paperSize="9" orientation="portrait" horizontalDpi="4294967293" vertic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BB6ED-4C96-4FB6-862D-95E60A67A6CB}">
  <sheetPr codeName="Tabelle9"/>
  <dimension ref="A3:L16"/>
  <sheetViews>
    <sheetView zoomScaleNormal="100" workbookViewId="0">
      <selection activeCell="E4" sqref="E4"/>
    </sheetView>
  </sheetViews>
  <sheetFormatPr baseColWidth="10" defaultColWidth="11.54296875" defaultRowHeight="14.5" x14ac:dyDescent="0.35"/>
  <cols>
    <col min="1" max="1" width="26.36328125" bestFit="1" customWidth="1"/>
    <col min="2" max="4" width="8.36328125" bestFit="1" customWidth="1"/>
    <col min="5" max="5" width="8.90625" bestFit="1" customWidth="1"/>
    <col min="6" max="6" width="8.36328125" bestFit="1" customWidth="1"/>
    <col min="7" max="7" width="8.90625" bestFit="1" customWidth="1"/>
    <col min="8" max="11" width="8.36328125" bestFit="1" customWidth="1"/>
  </cols>
  <sheetData>
    <row r="3" spans="1:12" ht="100.25" customHeight="1" x14ac:dyDescent="0.35">
      <c r="A3" s="32" t="str">
        <f>Group</f>
        <v>5b</v>
      </c>
      <c r="B3" s="36" t="str">
        <f>$A4</f>
        <v>andersm</v>
      </c>
      <c r="C3" s="36" t="str">
        <f>$A5</f>
        <v>jebediasmie</v>
      </c>
      <c r="D3" s="36" t="str">
        <f>$A6</f>
        <v>Michael the pariah</v>
      </c>
      <c r="E3" s="36" t="str">
        <f>$A7</f>
        <v>MungoMH</v>
      </c>
      <c r="F3" s="36" t="str">
        <f>$A8</f>
        <v>neptun</v>
      </c>
      <c r="G3" s="36" t="str">
        <f>$A9</f>
        <v>oldehippy</v>
      </c>
      <c r="H3" s="36" t="str">
        <f>$A10</f>
        <v>silvercilla</v>
      </c>
      <c r="I3" s="36" t="str">
        <f>$A11</f>
        <v>T.J.</v>
      </c>
      <c r="J3" s="36" t="str">
        <f>$A12</f>
        <v>Yolandaine</v>
      </c>
      <c r="K3" s="37" t="str">
        <f>$A13</f>
        <v/>
      </c>
      <c r="L3" s="1"/>
    </row>
    <row r="4" spans="1:12" x14ac:dyDescent="0.35">
      <c r="A4" s="33" t="str">
        <f>IF(Player1="","",Player1)</f>
        <v>andersm</v>
      </c>
      <c r="B4" s="38" t="str">
        <f>IF(-1=getMatchWinProbability($A4,Matches!B4,B$3,Matches!C4),"",getMatchWinProbability($A4,Matches!B4,B$3,Matches!C4))</f>
        <v/>
      </c>
      <c r="C4" s="38">
        <f>IF(-1=getMatchWinProbability($A4,Matches!D4,C$3,Matches!E4),"",getMatchWinProbability($A4,Matches!D4,C$3,Matches!E4))</f>
        <v>0.5</v>
      </c>
      <c r="D4" s="38">
        <f>IF(-1=getMatchWinProbability($A4,Matches!F4,D$3,Matches!G4),"",getMatchWinProbability($A4,Matches!F4,D$3,Matches!G4))</f>
        <v>0.5</v>
      </c>
      <c r="E4" s="38">
        <f>IF(-1=getMatchWinProbability($A4,Matches!H4,E$3,Matches!I4),"",getMatchWinProbability($A4,Matches!H4,E$3,Matches!I4))</f>
        <v>0.5</v>
      </c>
      <c r="F4" s="38">
        <f>IF(-1=getMatchWinProbability($A4,Matches!J4,F$3,Matches!K4),"",getMatchWinProbability($A4,Matches!J4,F$3,Matches!K4))</f>
        <v>0.5</v>
      </c>
      <c r="G4" s="38">
        <f>IF(-1=getMatchWinProbability($A4,Matches!L4,G$3,Matches!M4),"",getMatchWinProbability($A4,Matches!L4,G$3,Matches!M4))</f>
        <v>0.5</v>
      </c>
      <c r="H4" s="38">
        <f>IF(-1=getMatchWinProbability($A4,Matches!N4,H$3,Matches!O4),"",getMatchWinProbability($A4,Matches!N4,H$3,Matches!O4))</f>
        <v>0.5</v>
      </c>
      <c r="I4" s="38">
        <f>IF(-1=getMatchWinProbability($A4,Matches!P4,I$3,Matches!Q4),"",getMatchWinProbability($A4,Matches!P4,I$3,Matches!Q4))</f>
        <v>0.5</v>
      </c>
      <c r="J4" s="38">
        <f>IF(-1=getMatchWinProbability($A4,Matches!R4,J$3,Matches!S4),"",getMatchWinProbability($A4,Matches!R4,J$3,Matches!S4))</f>
        <v>0.5</v>
      </c>
      <c r="K4" s="39" t="str">
        <f>IF(-1=getMatchWinProbability($A4,Matches!T4,K$3,Matches!U4),"",getMatchWinProbability($A4,Matches!T4,K$3,Matches!U4))</f>
        <v/>
      </c>
      <c r="L4" s="35">
        <f>SUM(B4:K4)/9</f>
        <v>0.44444444444444442</v>
      </c>
    </row>
    <row r="5" spans="1:12" x14ac:dyDescent="0.35">
      <c r="A5" s="33" t="str">
        <f>IF(Player2="","",Player2)</f>
        <v>jebediasmie</v>
      </c>
      <c r="B5" s="38">
        <f>IF(-1=getMatchWinProbability($A5,Matches!B5,B$3,Matches!C5),"",getMatchWinProbability($A5,Matches!B5,B$3,Matches!C5))</f>
        <v>0.5</v>
      </c>
      <c r="C5" s="38" t="str">
        <f>IF(-1=getMatchWinProbability($A5,Matches!D5,C$3,Matches!E5),"",getMatchWinProbability($A5,Matches!D5,C$3,Matches!E5))</f>
        <v/>
      </c>
      <c r="D5" s="38">
        <f>IF(-1=getMatchWinProbability($A5,Matches!F5,D$3,Matches!G5),"",getMatchWinProbability($A5,Matches!F5,D$3,Matches!G5))</f>
        <v>0.5</v>
      </c>
      <c r="E5" s="38">
        <f>IF(-1=getMatchWinProbability($A5,Matches!H5,E$3,Matches!I5),"",getMatchWinProbability($A5,Matches!H5,E$3,Matches!I5))</f>
        <v>0.5</v>
      </c>
      <c r="F5" s="38">
        <f>IF(-1=getMatchWinProbability($A5,Matches!J5,F$3,Matches!K5),"",getMatchWinProbability($A5,Matches!J5,F$3,Matches!K5))</f>
        <v>0.5</v>
      </c>
      <c r="G5" s="38">
        <f>IF(-1=getMatchWinProbability($A5,Matches!L5,G$3,Matches!M5),"",getMatchWinProbability($A5,Matches!L5,G$3,Matches!M5))</f>
        <v>0.5</v>
      </c>
      <c r="H5" s="38">
        <f>IF(-1=getMatchWinProbability($A5,Matches!N5,H$3,Matches!O5),"",getMatchWinProbability($A5,Matches!N5,H$3,Matches!O5))</f>
        <v>0.5</v>
      </c>
      <c r="I5" s="38">
        <f>IF(-1=getMatchWinProbability($A5,Matches!P5,I$3,Matches!Q5),"",getMatchWinProbability($A5,Matches!P5,I$3,Matches!Q5))</f>
        <v>0.5</v>
      </c>
      <c r="J5" s="38">
        <f>IF(-1=getMatchWinProbability($A5,Matches!R5,J$3,Matches!S5),"",getMatchWinProbability($A5,Matches!R5,J$3,Matches!S5))</f>
        <v>0.5</v>
      </c>
      <c r="K5" s="39" t="str">
        <f>IF(-1=getMatchWinProbability($A5,Matches!T5,K$3,Matches!U5),"",getMatchWinProbability($A5,Matches!T5,K$3,Matches!U5))</f>
        <v/>
      </c>
      <c r="L5" s="35">
        <f t="shared" ref="L5:L13" si="0">SUM(B5:K5)/9</f>
        <v>0.44444444444444442</v>
      </c>
    </row>
    <row r="6" spans="1:12" x14ac:dyDescent="0.35">
      <c r="A6" s="33" t="str">
        <f>IF(Player3="","",Player3)</f>
        <v>Michael the pariah</v>
      </c>
      <c r="B6" s="38">
        <f>IF(-1=getMatchWinProbability($A6,Matches!B6,B$3,Matches!C6),"",getMatchWinProbability($A6,Matches!B6,B$3,Matches!C6))</f>
        <v>0.5</v>
      </c>
      <c r="C6" s="38">
        <f>IF(-1=getMatchWinProbability($A6,Matches!D6,C$3,Matches!E6),"",getMatchWinProbability($A6,Matches!D6,C$3,Matches!E6))</f>
        <v>0.5</v>
      </c>
      <c r="D6" s="38" t="str">
        <f>IF(-1=getMatchWinProbability($A6,Matches!F6,D$3,Matches!G6),"",getMatchWinProbability($A6,Matches!F6,D$3,Matches!G6))</f>
        <v/>
      </c>
      <c r="E6" s="38">
        <f>IF(-1=getMatchWinProbability($A6,Matches!H6,E$3,Matches!I6),"",getMatchWinProbability($A6,Matches!H6,E$3,Matches!I6))</f>
        <v>0.5</v>
      </c>
      <c r="F6" s="38">
        <f>IF(-1=getMatchWinProbability($A6,Matches!J6,F$3,Matches!K6),"",getMatchWinProbability($A6,Matches!J6,F$3,Matches!K6))</f>
        <v>0.5</v>
      </c>
      <c r="G6" s="38">
        <f>IF(-1=getMatchWinProbability($A6,Matches!L6,G$3,Matches!M6),"",getMatchWinProbability($A6,Matches!L6,G$3,Matches!M6))</f>
        <v>0.5</v>
      </c>
      <c r="H6" s="38">
        <f>IF(-1=getMatchWinProbability($A6,Matches!N6,H$3,Matches!O6),"",getMatchWinProbability($A6,Matches!N6,H$3,Matches!O6))</f>
        <v>0.5</v>
      </c>
      <c r="I6" s="38">
        <f>IF(-1=getMatchWinProbability($A6,Matches!P6,I$3,Matches!Q6),"",getMatchWinProbability($A6,Matches!P6,I$3,Matches!Q6))</f>
        <v>0.5</v>
      </c>
      <c r="J6" s="38">
        <f>IF(-1=getMatchWinProbability($A6,Matches!R6,J$3,Matches!S6),"",getMatchWinProbability($A6,Matches!R6,J$3,Matches!S6))</f>
        <v>0.5</v>
      </c>
      <c r="K6" s="39" t="str">
        <f>IF(-1=getMatchWinProbability($A6,Matches!T6,K$3,Matches!U6),"",getMatchWinProbability($A6,Matches!T6,K$3,Matches!U6))</f>
        <v/>
      </c>
      <c r="L6" s="35">
        <f t="shared" si="0"/>
        <v>0.44444444444444442</v>
      </c>
    </row>
    <row r="7" spans="1:12" x14ac:dyDescent="0.35">
      <c r="A7" s="33" t="str">
        <f>IF(Player4="","",Player4)</f>
        <v>MungoMH</v>
      </c>
      <c r="B7" s="38">
        <f>IF(-1=getMatchWinProbability($A7,Matches!B7,B$3,Matches!C7),"",getMatchWinProbability($A7,Matches!B7,B$3,Matches!C7))</f>
        <v>0.5</v>
      </c>
      <c r="C7" s="38">
        <f>IF(-1=getMatchWinProbability($A7,Matches!D7,C$3,Matches!E7),"",getMatchWinProbability($A7,Matches!D7,C$3,Matches!E7))</f>
        <v>0.5</v>
      </c>
      <c r="D7" s="38">
        <f>IF(-1=getMatchWinProbability($A7,Matches!F7,D$3,Matches!G7),"",getMatchWinProbability($A7,Matches!F7,D$3,Matches!G7))</f>
        <v>0.5</v>
      </c>
      <c r="E7" s="38" t="str">
        <f>IF(-1=getMatchWinProbability($A7,Matches!H7,E$3,Matches!I7),"",getMatchWinProbability($A7,Matches!H7,E$3,Matches!I7))</f>
        <v/>
      </c>
      <c r="F7" s="38">
        <f>IF(-1=getMatchWinProbability($A7,Matches!J7,F$3,Matches!K7),"",getMatchWinProbability($A7,Matches!J7,F$3,Matches!K7))</f>
        <v>0.5</v>
      </c>
      <c r="G7" s="38">
        <f>IF(-1=getMatchWinProbability($A7,Matches!L7,G$3,Matches!M7),"",getMatchWinProbability($A7,Matches!L7,G$3,Matches!M7))</f>
        <v>0.5</v>
      </c>
      <c r="H7" s="38">
        <f>IF(-1=getMatchWinProbability($A7,Matches!N7,H$3,Matches!O7),"",getMatchWinProbability($A7,Matches!N7,H$3,Matches!O7))</f>
        <v>0.5</v>
      </c>
      <c r="I7" s="38">
        <f>IF(-1=getMatchWinProbability($A7,Matches!P7,I$3,Matches!Q7),"",getMatchWinProbability($A7,Matches!P7,I$3,Matches!Q7))</f>
        <v>0.5</v>
      </c>
      <c r="J7" s="38">
        <f>IF(-1=getMatchWinProbability($A7,Matches!R7,J$3,Matches!S7),"",getMatchWinProbability($A7,Matches!R7,J$3,Matches!S7))</f>
        <v>0.5</v>
      </c>
      <c r="K7" s="39" t="str">
        <f>IF(-1=getMatchWinProbability($A7,Matches!T7,K$3,Matches!U7),"",getMatchWinProbability($A7,Matches!T7,K$3,Matches!U7))</f>
        <v/>
      </c>
      <c r="L7" s="35">
        <f t="shared" si="0"/>
        <v>0.44444444444444442</v>
      </c>
    </row>
    <row r="8" spans="1:12" x14ac:dyDescent="0.35">
      <c r="A8" s="33" t="str">
        <f>IF(Player5="","",Player5)</f>
        <v>neptun</v>
      </c>
      <c r="B8" s="38">
        <f>IF(-1=getMatchWinProbability($A8,Matches!B8,B$3,Matches!C8),"",getMatchWinProbability($A8,Matches!B8,B$3,Matches!C8))</f>
        <v>0.5</v>
      </c>
      <c r="C8" s="38">
        <f>IF(-1=getMatchWinProbability($A8,Matches!D8,C$3,Matches!E8),"",getMatchWinProbability($A8,Matches!D8,C$3,Matches!E8))</f>
        <v>0.5</v>
      </c>
      <c r="D8" s="38">
        <f>IF(-1=getMatchWinProbability($A8,Matches!F8,D$3,Matches!G8),"",getMatchWinProbability($A8,Matches!F8,D$3,Matches!G8))</f>
        <v>0.5</v>
      </c>
      <c r="E8" s="38">
        <f>IF(-1=getMatchWinProbability($A8,Matches!H8,E$3,Matches!I8),"",getMatchWinProbability($A8,Matches!H8,E$3,Matches!I8))</f>
        <v>0.5</v>
      </c>
      <c r="F8" s="38" t="str">
        <f>IF(-1=getMatchWinProbability($A8,Matches!J8,F$3,Matches!K8),"",getMatchWinProbability($A8,Matches!J8,F$3,Matches!K8))</f>
        <v/>
      </c>
      <c r="G8" s="38">
        <f>IF(-1=getMatchWinProbability($A8,Matches!L8,G$3,Matches!M8),"",getMatchWinProbability($A8,Matches!L8,G$3,Matches!M8))</f>
        <v>0.5</v>
      </c>
      <c r="H8" s="38">
        <f>IF(-1=getMatchWinProbability($A8,Matches!N8,H$3,Matches!O8),"",getMatchWinProbability($A8,Matches!N8,H$3,Matches!O8))</f>
        <v>0.5</v>
      </c>
      <c r="I8" s="38">
        <f>IF(-1=getMatchWinProbability($A8,Matches!P8,I$3,Matches!Q8),"",getMatchWinProbability($A8,Matches!P8,I$3,Matches!Q8))</f>
        <v>0.5</v>
      </c>
      <c r="J8" s="38">
        <f>IF(-1=getMatchWinProbability($A8,Matches!R8,J$3,Matches!S8),"",getMatchWinProbability($A8,Matches!R8,J$3,Matches!S8))</f>
        <v>0.5</v>
      </c>
      <c r="K8" s="39" t="str">
        <f>IF(-1=getMatchWinProbability($A8,Matches!T8,K$3,Matches!U8),"",getMatchWinProbability($A8,Matches!T8,K$3,Matches!U8))</f>
        <v/>
      </c>
      <c r="L8" s="35">
        <f t="shared" si="0"/>
        <v>0.44444444444444442</v>
      </c>
    </row>
    <row r="9" spans="1:12" x14ac:dyDescent="0.35">
      <c r="A9" s="33" t="str">
        <f>IF(Player6="","",Player6)</f>
        <v>oldehippy</v>
      </c>
      <c r="B9" s="38">
        <f>IF(-1=getMatchWinProbability($A9,Matches!B9,B$3,Matches!C9),"",getMatchWinProbability($A9,Matches!B9,B$3,Matches!C9))</f>
        <v>0.5</v>
      </c>
      <c r="C9" s="38">
        <f>IF(-1=getMatchWinProbability($A9,Matches!D9,C$3,Matches!E9),"",getMatchWinProbability($A9,Matches!D9,C$3,Matches!E9))</f>
        <v>0.5</v>
      </c>
      <c r="D9" s="38">
        <f>IF(-1=getMatchWinProbability($A9,Matches!F9,D$3,Matches!G9),"",getMatchWinProbability($A9,Matches!F9,D$3,Matches!G9))</f>
        <v>0.5</v>
      </c>
      <c r="E9" s="38">
        <f>IF(-1=getMatchWinProbability($A9,Matches!H9,E$3,Matches!I9),"",getMatchWinProbability($A9,Matches!H9,E$3,Matches!I9))</f>
        <v>0.5</v>
      </c>
      <c r="F9" s="38">
        <f>IF(-1=getMatchWinProbability($A9,Matches!J9,F$3,Matches!K9),"",getMatchWinProbability($A9,Matches!J9,F$3,Matches!K9))</f>
        <v>0.5</v>
      </c>
      <c r="G9" s="38" t="str">
        <f>IF(-1=getMatchWinProbability($A9,Matches!L9,G$3,Matches!M9),"",getMatchWinProbability($A9,Matches!L9,G$3,Matches!M9))</f>
        <v/>
      </c>
      <c r="H9" s="38">
        <f>IF(-1=getMatchWinProbability($A9,Matches!N9,H$3,Matches!O9),"",getMatchWinProbability($A9,Matches!N9,H$3,Matches!O9))</f>
        <v>0.5</v>
      </c>
      <c r="I9" s="38">
        <f>IF(-1=getMatchWinProbability($A9,Matches!P9,I$3,Matches!Q9),"",getMatchWinProbability($A9,Matches!P9,I$3,Matches!Q9))</f>
        <v>0.5</v>
      </c>
      <c r="J9" s="38">
        <f>IF(-1=getMatchWinProbability($A9,Matches!R9,J$3,Matches!S9),"",getMatchWinProbability($A9,Matches!R9,J$3,Matches!S9))</f>
        <v>0.5</v>
      </c>
      <c r="K9" s="39" t="str">
        <f>IF(-1=getMatchWinProbability($A9,Matches!T9,K$3,Matches!U9),"",getMatchWinProbability($A9,Matches!T9,K$3,Matches!U9))</f>
        <v/>
      </c>
      <c r="L9" s="35">
        <f t="shared" si="0"/>
        <v>0.44444444444444442</v>
      </c>
    </row>
    <row r="10" spans="1:12" x14ac:dyDescent="0.35">
      <c r="A10" s="33" t="str">
        <f>IF(Player7="","",Player7)</f>
        <v>silvercilla</v>
      </c>
      <c r="B10" s="38">
        <f>IF(-1=getMatchWinProbability($A10,Matches!B10,B$3,Matches!C10),"",getMatchWinProbability($A10,Matches!B10,B$3,Matches!C10))</f>
        <v>0.5</v>
      </c>
      <c r="C10" s="38">
        <f>IF(-1=getMatchWinProbability($A10,Matches!D10,C$3,Matches!E10),"",getMatchWinProbability($A10,Matches!D10,C$3,Matches!E10))</f>
        <v>0.5</v>
      </c>
      <c r="D10" s="38">
        <f>IF(-1=getMatchWinProbability($A10,Matches!F10,D$3,Matches!G10),"",getMatchWinProbability($A10,Matches!F10,D$3,Matches!G10))</f>
        <v>0.5</v>
      </c>
      <c r="E10" s="38">
        <f>IF(-1=getMatchWinProbability($A10,Matches!H10,E$3,Matches!I10),"",getMatchWinProbability($A10,Matches!H10,E$3,Matches!I10))</f>
        <v>0.5</v>
      </c>
      <c r="F10" s="38">
        <f>IF(-1=getMatchWinProbability($A10,Matches!J10,F$3,Matches!K10),"",getMatchWinProbability($A10,Matches!J10,F$3,Matches!K10))</f>
        <v>0.5</v>
      </c>
      <c r="G10" s="38">
        <f>IF(-1=getMatchWinProbability($A10,Matches!L10,G$3,Matches!M10),"",getMatchWinProbability($A10,Matches!L10,G$3,Matches!M10))</f>
        <v>0.5</v>
      </c>
      <c r="H10" s="38" t="str">
        <f>IF(-1=getMatchWinProbability($A10,Matches!N10,H$3,Matches!O10),"",getMatchWinProbability($A10,Matches!N10,H$3,Matches!O10))</f>
        <v/>
      </c>
      <c r="I10" s="38">
        <f>IF(-1=getMatchWinProbability($A10,Matches!P10,I$3,Matches!Q10),"",getMatchWinProbability($A10,Matches!P10,I$3,Matches!Q10))</f>
        <v>0.5</v>
      </c>
      <c r="J10" s="38">
        <f>IF(-1=getMatchWinProbability($A10,Matches!R10,J$3,Matches!S10),"",getMatchWinProbability($A10,Matches!R10,J$3,Matches!S10))</f>
        <v>0.5</v>
      </c>
      <c r="K10" s="39" t="str">
        <f>IF(-1=getMatchWinProbability($A10,Matches!T10,K$3,Matches!U10),"",getMatchWinProbability($A10,Matches!T10,K$3,Matches!U10))</f>
        <v/>
      </c>
      <c r="L10" s="35">
        <f t="shared" si="0"/>
        <v>0.44444444444444442</v>
      </c>
    </row>
    <row r="11" spans="1:12" x14ac:dyDescent="0.35">
      <c r="A11" s="33" t="str">
        <f>IF(Player8="","",Player8)</f>
        <v>T.J.</v>
      </c>
      <c r="B11" s="38">
        <f>IF(-1=getMatchWinProbability($A11,Matches!B11,B$3,Matches!C11),"",getMatchWinProbability($A11,Matches!B11,B$3,Matches!C11))</f>
        <v>0.5</v>
      </c>
      <c r="C11" s="38">
        <f>IF(-1=getMatchWinProbability($A11,Matches!D11,C$3,Matches!E11),"",getMatchWinProbability($A11,Matches!D11,C$3,Matches!E11))</f>
        <v>0.5</v>
      </c>
      <c r="D11" s="38">
        <f>IF(-1=getMatchWinProbability($A11,Matches!F11,D$3,Matches!G11),"",getMatchWinProbability($A11,Matches!F11,D$3,Matches!G11))</f>
        <v>0.5</v>
      </c>
      <c r="E11" s="38">
        <f>IF(-1=getMatchWinProbability($A11,Matches!H11,E$3,Matches!I11),"",getMatchWinProbability($A11,Matches!H11,E$3,Matches!I11))</f>
        <v>0.5</v>
      </c>
      <c r="F11" s="38">
        <f>IF(-1=getMatchWinProbability($A11,Matches!J11,F$3,Matches!K11),"",getMatchWinProbability($A11,Matches!J11,F$3,Matches!K11))</f>
        <v>0.5</v>
      </c>
      <c r="G11" s="38">
        <f>IF(-1=getMatchWinProbability($A11,Matches!L11,G$3,Matches!M11),"",getMatchWinProbability($A11,Matches!L11,G$3,Matches!M11))</f>
        <v>0.5</v>
      </c>
      <c r="H11" s="38">
        <f>IF(-1=getMatchWinProbability($A11,Matches!N11,H$3,Matches!O11),"",getMatchWinProbability($A11,Matches!N11,H$3,Matches!O11))</f>
        <v>0.5</v>
      </c>
      <c r="I11" s="38" t="str">
        <f>IF(-1=getMatchWinProbability($A11,Matches!P11,I$3,Matches!Q11),"",getMatchWinProbability($A11,Matches!P11,I$3,Matches!Q11))</f>
        <v/>
      </c>
      <c r="J11" s="38">
        <f>IF(-1=getMatchWinProbability($A11,Matches!R11,J$3,Matches!S11),"",getMatchWinProbability($A11,Matches!R11,J$3,Matches!S11))</f>
        <v>0.5</v>
      </c>
      <c r="K11" s="39" t="str">
        <f>IF(-1=getMatchWinProbability($A11,Matches!T11,K$3,Matches!U11),"",getMatchWinProbability($A11,Matches!T11,K$3,Matches!U11))</f>
        <v/>
      </c>
      <c r="L11" s="35">
        <f t="shared" si="0"/>
        <v>0.44444444444444442</v>
      </c>
    </row>
    <row r="12" spans="1:12" x14ac:dyDescent="0.35">
      <c r="A12" s="33" t="str">
        <f>IF(Player9="","",Player9)</f>
        <v>Yolandaine</v>
      </c>
      <c r="B12" s="38">
        <f>IF(-1=getMatchWinProbability($A12,Matches!B12,B$3,Matches!C12),"",getMatchWinProbability($A12,Matches!B12,B$3,Matches!C12))</f>
        <v>0.5</v>
      </c>
      <c r="C12" s="38">
        <f>IF(-1=getMatchWinProbability($A12,Matches!D12,C$3,Matches!E12),"",getMatchWinProbability($A12,Matches!D12,C$3,Matches!E12))</f>
        <v>0.5</v>
      </c>
      <c r="D12" s="38">
        <f>IF(-1=getMatchWinProbability($A12,Matches!F12,D$3,Matches!G12),"",getMatchWinProbability($A12,Matches!F12,D$3,Matches!G12))</f>
        <v>0.5</v>
      </c>
      <c r="E12" s="38">
        <f>IF(-1=getMatchWinProbability($A12,Matches!H12,E$3,Matches!I12),"",getMatchWinProbability($A12,Matches!H12,E$3,Matches!I12))</f>
        <v>0.5</v>
      </c>
      <c r="F12" s="38">
        <f>IF(-1=getMatchWinProbability($A12,Matches!J12,F$3,Matches!K12),"",getMatchWinProbability($A12,Matches!J12,F$3,Matches!K12))</f>
        <v>0.5</v>
      </c>
      <c r="G12" s="38">
        <f>IF(-1=getMatchWinProbability($A12,Matches!L12,G$3,Matches!M12),"",getMatchWinProbability($A12,Matches!L12,G$3,Matches!M12))</f>
        <v>0.5</v>
      </c>
      <c r="H12" s="38">
        <f>IF(-1=getMatchWinProbability($A12,Matches!N12,H$3,Matches!O12),"",getMatchWinProbability($A12,Matches!N12,H$3,Matches!O12))</f>
        <v>0.5</v>
      </c>
      <c r="I12" s="38">
        <f>IF(-1=getMatchWinProbability($A12,Matches!P12,I$3,Matches!Q12),"",getMatchWinProbability($A12,Matches!P12,I$3,Matches!Q12))</f>
        <v>0.5</v>
      </c>
      <c r="J12" s="38" t="str">
        <f>IF(-1=getMatchWinProbability($A12,Matches!R12,J$3,Matches!S12),"",getMatchWinProbability($A12,Matches!R12,J$3,Matches!S12))</f>
        <v/>
      </c>
      <c r="K12" s="39" t="str">
        <f>IF(-1=getMatchWinProbability($A12,Matches!T12,K$3,Matches!U12),"",getMatchWinProbability($A12,Matches!T12,K$3,Matches!U12))</f>
        <v/>
      </c>
      <c r="L12" s="35">
        <f t="shared" si="0"/>
        <v>0.44444444444444442</v>
      </c>
    </row>
    <row r="13" spans="1:12" x14ac:dyDescent="0.35">
      <c r="A13" s="34" t="str">
        <f>IF(Player10="","",Player10)</f>
        <v/>
      </c>
      <c r="B13" s="40" t="str">
        <f>IF(-1=getMatchWinProbability($A13,Matches!B13,B$3,Matches!C13),"",getMatchWinProbability($A13,Matches!B13,B$3,Matches!C13))</f>
        <v/>
      </c>
      <c r="C13" s="40" t="str">
        <f>IF(-1=getMatchWinProbability($A13,Matches!D13,C$3,Matches!E13),"",getMatchWinProbability($A13,Matches!D13,C$3,Matches!E13))</f>
        <v/>
      </c>
      <c r="D13" s="40" t="str">
        <f>IF(-1=getMatchWinProbability($A13,Matches!F13,D$3,Matches!G13),"",getMatchWinProbability($A13,Matches!F13,D$3,Matches!G13))</f>
        <v/>
      </c>
      <c r="E13" s="40" t="str">
        <f>IF(-1=getMatchWinProbability($A13,Matches!H13,E$3,Matches!I13),"",getMatchWinProbability($A13,Matches!H13,E$3,Matches!I13))</f>
        <v/>
      </c>
      <c r="F13" s="40" t="str">
        <f>IF(-1=getMatchWinProbability($A13,Matches!J13,F$3,Matches!K13),"",getMatchWinProbability($A13,Matches!J13,F$3,Matches!K13))</f>
        <v/>
      </c>
      <c r="G13" s="40" t="str">
        <f>IF(-1=getMatchWinProbability($A13,Matches!L13,G$3,Matches!M13),"",getMatchWinProbability($A13,Matches!L13,G$3,Matches!M13))</f>
        <v/>
      </c>
      <c r="H13" s="40" t="str">
        <f>IF(-1=getMatchWinProbability($A13,Matches!N13,H$3,Matches!O13),"",getMatchWinProbability($A13,Matches!N13,H$3,Matches!O13))</f>
        <v/>
      </c>
      <c r="I13" s="40" t="str">
        <f>IF(-1=getMatchWinProbability($A13,Matches!P13,I$3,Matches!Q13),"",getMatchWinProbability($A13,Matches!P13,I$3,Matches!Q13))</f>
        <v/>
      </c>
      <c r="J13" s="40" t="str">
        <f>IF(-1=getMatchWinProbability($A13,Matches!R13,J$3,Matches!S13),"",getMatchWinProbability($A13,Matches!R13,J$3,Matches!S13))</f>
        <v/>
      </c>
      <c r="K13" s="41" t="str">
        <f>IF(-1=getMatchWinProbability($A13,Matches!T13,K$3,Matches!U13),"",getMatchWinProbability($A13,Matches!T13,K$3,Matches!U13))</f>
        <v/>
      </c>
      <c r="L13" s="35">
        <f t="shared" si="0"/>
        <v>0</v>
      </c>
    </row>
    <row r="14" spans="1:12" x14ac:dyDescent="0.35">
      <c r="A14" s="33"/>
      <c r="B14" s="8">
        <f>SUM(B4:B13)/9</f>
        <v>0.44444444444444442</v>
      </c>
      <c r="C14" s="8">
        <f t="shared" ref="C14:K14" si="1">SUM(C4:C13)/9</f>
        <v>0.44444444444444442</v>
      </c>
      <c r="D14" s="8">
        <f t="shared" si="1"/>
        <v>0.44444444444444442</v>
      </c>
      <c r="E14" s="8">
        <f t="shared" si="1"/>
        <v>0.44444444444444442</v>
      </c>
      <c r="F14" s="8">
        <f t="shared" si="1"/>
        <v>0.44444444444444442</v>
      </c>
      <c r="G14" s="8">
        <f t="shared" si="1"/>
        <v>0.44444444444444442</v>
      </c>
      <c r="H14" s="8">
        <f t="shared" si="1"/>
        <v>0.44444444444444442</v>
      </c>
      <c r="I14" s="8">
        <f t="shared" si="1"/>
        <v>0.44444444444444442</v>
      </c>
      <c r="J14" s="8">
        <f t="shared" si="1"/>
        <v>0.44444444444444442</v>
      </c>
      <c r="K14" s="8">
        <f t="shared" si="1"/>
        <v>0</v>
      </c>
    </row>
    <row r="15" spans="1:12" x14ac:dyDescent="0.35">
      <c r="A15" s="33"/>
      <c r="B15" s="8">
        <f>(B14+L4)/2</f>
        <v>0.44444444444444442</v>
      </c>
      <c r="C15" s="8">
        <f>(C14+L5)/2</f>
        <v>0.44444444444444442</v>
      </c>
      <c r="D15" s="8">
        <f>(D14+L6)/2</f>
        <v>0.44444444444444442</v>
      </c>
      <c r="E15" s="8">
        <f>(E14+L7)/2</f>
        <v>0.44444444444444442</v>
      </c>
      <c r="F15" s="8">
        <f>(F14+L8)/2</f>
        <v>0.44444444444444442</v>
      </c>
      <c r="G15" s="8">
        <f>(G14+L9)/2</f>
        <v>0.44444444444444442</v>
      </c>
      <c r="H15" s="8">
        <f>(H14+L10)/2</f>
        <v>0.44444444444444442</v>
      </c>
      <c r="I15" s="8">
        <f>(I14+L11)/2</f>
        <v>0.44444444444444442</v>
      </c>
      <c r="J15" s="8">
        <f>(J14+L12)/2</f>
        <v>0.44444444444444442</v>
      </c>
      <c r="K15" s="8">
        <f>(K14+L13)/2</f>
        <v>0</v>
      </c>
    </row>
    <row r="16" spans="1:12" x14ac:dyDescent="0.35">
      <c r="A16" s="13"/>
      <c r="B16" s="8"/>
      <c r="C16" s="8"/>
      <c r="D16" s="8"/>
      <c r="E16" s="8"/>
      <c r="F16" s="8"/>
      <c r="G16" s="8"/>
      <c r="H16" s="8"/>
      <c r="I16" s="8"/>
      <c r="J16" s="8"/>
      <c r="K16" s="8"/>
    </row>
  </sheetData>
  <sheetProtection selectLockedCells="1"/>
  <dataValidations count="1">
    <dataValidation allowBlank="1" showInputMessage="1" showErrorMessage="1" errorTitle="Error" error="Invalid value - Please enter values between 0 and 11" sqref="A1:XFD1048576" xr:uid="{A7915DBE-813C-48EC-AAEF-5AB41B6887DE}"/>
  </dataValidations>
  <pageMargins left="0.7" right="0.7" top="0.78740157499999996" bottom="0.78740157499999996" header="0.3" footer="0.3"/>
  <pageSetup paperSize="9" orientation="portrait" horizontalDpi="4294967293" vertic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24713-F50E-47A8-B3FC-9775C1A5FBED}">
  <sheetPr codeName="Tabelle11"/>
  <dimension ref="A1:AA27"/>
  <sheetViews>
    <sheetView workbookViewId="0">
      <selection activeCell="L3" sqref="L3"/>
    </sheetView>
  </sheetViews>
  <sheetFormatPr baseColWidth="10" defaultColWidth="11.54296875" defaultRowHeight="14.5" x14ac:dyDescent="0.35"/>
  <cols>
    <col min="1" max="1" width="3.08984375" bestFit="1" customWidth="1"/>
    <col min="2" max="17" width="9" bestFit="1" customWidth="1"/>
    <col min="18" max="27" width="8" bestFit="1" customWidth="1"/>
  </cols>
  <sheetData>
    <row r="1" spans="1:27" x14ac:dyDescent="0.35">
      <c r="B1" t="s">
        <v>43</v>
      </c>
      <c r="C1">
        <v>1</v>
      </c>
      <c r="D1">
        <v>2</v>
      </c>
      <c r="E1">
        <v>3</v>
      </c>
      <c r="F1">
        <v>4</v>
      </c>
      <c r="G1">
        <v>5</v>
      </c>
      <c r="H1">
        <v>6</v>
      </c>
      <c r="I1">
        <v>7</v>
      </c>
      <c r="J1">
        <v>8</v>
      </c>
      <c r="K1">
        <v>9</v>
      </c>
      <c r="L1">
        <v>10</v>
      </c>
      <c r="M1">
        <v>11</v>
      </c>
      <c r="N1">
        <v>12</v>
      </c>
      <c r="O1">
        <v>13</v>
      </c>
      <c r="P1">
        <v>14</v>
      </c>
      <c r="Q1">
        <v>15</v>
      </c>
      <c r="R1">
        <v>16</v>
      </c>
      <c r="S1">
        <v>17</v>
      </c>
      <c r="T1">
        <v>18</v>
      </c>
      <c r="U1">
        <v>19</v>
      </c>
      <c r="V1">
        <v>20</v>
      </c>
      <c r="W1">
        <v>21</v>
      </c>
      <c r="X1">
        <v>22</v>
      </c>
      <c r="Y1">
        <v>23</v>
      </c>
      <c r="Z1">
        <v>24</v>
      </c>
      <c r="AA1">
        <v>25</v>
      </c>
    </row>
    <row r="2" spans="1:27" x14ac:dyDescent="0.35">
      <c r="A2" t="s">
        <v>43</v>
      </c>
      <c r="B2">
        <v>0.5</v>
      </c>
      <c r="D2">
        <v>0.51232299999999997</v>
      </c>
      <c r="E2">
        <v>0.67688800000000005</v>
      </c>
      <c r="F2">
        <v>0.68970100000000001</v>
      </c>
      <c r="G2">
        <v>0.80920400000000003</v>
      </c>
      <c r="H2">
        <v>0.81883799999999995</v>
      </c>
      <c r="I2">
        <v>0.88407899999999995</v>
      </c>
      <c r="J2">
        <v>0.89093999999999995</v>
      </c>
      <c r="K2">
        <v>0.93027000000000004</v>
      </c>
      <c r="L2">
        <v>0.93483899999999998</v>
      </c>
      <c r="M2">
        <v>0.95793099999999998</v>
      </c>
      <c r="N2">
        <v>0.96094000000000002</v>
      </c>
      <c r="O2">
        <v>0.97462899999999997</v>
      </c>
      <c r="P2">
        <v>0.976572</v>
      </c>
      <c r="Q2">
        <v>0.98469600000000002</v>
      </c>
      <c r="R2">
        <v>0.98594999999999999</v>
      </c>
      <c r="S2">
        <v>0.99075999999999997</v>
      </c>
      <c r="T2">
        <v>0.99158000000000002</v>
      </c>
      <c r="U2">
        <v>0.99443999999999999</v>
      </c>
      <c r="V2">
        <v>0.99495</v>
      </c>
      <c r="W2">
        <v>0.99663999999999997</v>
      </c>
      <c r="X2">
        <v>0.99697000000000002</v>
      </c>
      <c r="Y2">
        <v>0.99797000000000002</v>
      </c>
      <c r="Z2">
        <v>0.99817999999999996</v>
      </c>
      <c r="AA2">
        <v>0.99877000000000005</v>
      </c>
    </row>
    <row r="3" spans="1:27" x14ac:dyDescent="0.35">
      <c r="A3">
        <v>1</v>
      </c>
      <c r="C3">
        <v>0.5</v>
      </c>
      <c r="D3">
        <v>0.67688800000000005</v>
      </c>
      <c r="E3">
        <v>0.75117900000000004</v>
      </c>
      <c r="F3">
        <v>0.81377200000000005</v>
      </c>
      <c r="G3">
        <v>0.84194100000000005</v>
      </c>
      <c r="H3">
        <v>0.88686699999999996</v>
      </c>
      <c r="I3">
        <v>0.90718799999999999</v>
      </c>
      <c r="J3">
        <v>0.93231299999999995</v>
      </c>
      <c r="K3">
        <v>0.94397500000000001</v>
      </c>
      <c r="L3">
        <v>0.95927499999999999</v>
      </c>
      <c r="M3">
        <v>0.96644200000000002</v>
      </c>
      <c r="N3">
        <v>0.97553400000000001</v>
      </c>
      <c r="O3">
        <v>0.97984499999999997</v>
      </c>
      <c r="P3">
        <v>0.98527299999999995</v>
      </c>
      <c r="Q3">
        <v>0.98789300000000002</v>
      </c>
      <c r="R3">
        <v>0.99114000000000002</v>
      </c>
      <c r="S3">
        <v>0.99273</v>
      </c>
      <c r="T3">
        <v>0.99467000000000005</v>
      </c>
      <c r="U3">
        <v>0.99563000000000001</v>
      </c>
      <c r="V3">
        <v>0.99678999999999995</v>
      </c>
      <c r="W3">
        <v>0.99736999999999998</v>
      </c>
      <c r="X3">
        <v>0.99807000000000001</v>
      </c>
      <c r="Y3">
        <v>0.99841999999999997</v>
      </c>
      <c r="Z3">
        <v>0.99883999999999995</v>
      </c>
      <c r="AA3">
        <v>0.99904999999999999</v>
      </c>
    </row>
    <row r="4" spans="1:27" x14ac:dyDescent="0.35">
      <c r="A4">
        <v>2</v>
      </c>
      <c r="B4">
        <v>0.48767700000000003</v>
      </c>
      <c r="C4">
        <v>0.32311200000000001</v>
      </c>
      <c r="D4">
        <v>0.5</v>
      </c>
      <c r="E4">
        <v>0.59899400000000003</v>
      </c>
      <c r="F4">
        <v>0.66858600000000001</v>
      </c>
      <c r="G4">
        <v>0.74344699999999997</v>
      </c>
      <c r="H4">
        <v>0.79899100000000001</v>
      </c>
      <c r="I4">
        <v>0.84214100000000003</v>
      </c>
      <c r="J4">
        <v>0.87519800000000003</v>
      </c>
      <c r="K4">
        <v>0.90171999999999997</v>
      </c>
      <c r="L4">
        <v>0.92303400000000002</v>
      </c>
      <c r="M4">
        <v>0.93931100000000001</v>
      </c>
      <c r="N4">
        <v>0.95247000000000004</v>
      </c>
      <c r="O4">
        <v>0.96249499999999999</v>
      </c>
      <c r="P4">
        <v>0.97070100000000004</v>
      </c>
      <c r="Q4">
        <v>0.97688699999999995</v>
      </c>
      <c r="R4">
        <v>0.98196000000000006</v>
      </c>
      <c r="S4">
        <v>0.98580000000000001</v>
      </c>
      <c r="T4">
        <v>0.98892999999999998</v>
      </c>
      <c r="U4">
        <v>0.99129</v>
      </c>
      <c r="V4">
        <v>0.99321999999999999</v>
      </c>
      <c r="W4">
        <v>0.99465999999999999</v>
      </c>
      <c r="X4">
        <v>0.99585000000000001</v>
      </c>
      <c r="Y4">
        <v>0.99675000000000002</v>
      </c>
      <c r="Z4">
        <v>0.99746000000000001</v>
      </c>
      <c r="AA4">
        <v>0.99802000000000002</v>
      </c>
    </row>
    <row r="5" spans="1:27" x14ac:dyDescent="0.35">
      <c r="A5">
        <v>3</v>
      </c>
      <c r="B5">
        <v>0.32311200000000001</v>
      </c>
      <c r="C5">
        <v>0.24882099999999999</v>
      </c>
      <c r="D5">
        <v>0.40100599999999997</v>
      </c>
      <c r="E5">
        <v>0.5</v>
      </c>
      <c r="F5">
        <v>0.571438</v>
      </c>
      <c r="G5">
        <v>0.64771299999999998</v>
      </c>
      <c r="H5">
        <v>0.71160800000000002</v>
      </c>
      <c r="I5">
        <v>0.762548</v>
      </c>
      <c r="J5">
        <v>0.80484999999999995</v>
      </c>
      <c r="K5">
        <v>0.84019600000000005</v>
      </c>
      <c r="L5">
        <v>0.87063800000000002</v>
      </c>
      <c r="M5">
        <v>0.89441700000000002</v>
      </c>
      <c r="N5">
        <v>0.91483099999999995</v>
      </c>
      <c r="O5">
        <v>0.93070200000000003</v>
      </c>
      <c r="P5">
        <v>0.94442599999999999</v>
      </c>
      <c r="Q5">
        <v>0.95493099999999997</v>
      </c>
      <c r="R5">
        <v>0.96399000000000001</v>
      </c>
      <c r="S5">
        <v>0.97092999999999996</v>
      </c>
      <c r="T5">
        <v>0.97687000000000002</v>
      </c>
      <c r="U5">
        <v>0.98138999999999998</v>
      </c>
      <c r="V5">
        <v>0.98521999999999998</v>
      </c>
      <c r="W5">
        <v>0.98814000000000002</v>
      </c>
      <c r="X5">
        <v>0.99061999999999995</v>
      </c>
      <c r="Y5">
        <v>0.99248000000000003</v>
      </c>
      <c r="Z5">
        <v>0.99407000000000001</v>
      </c>
      <c r="AA5">
        <v>0.99526999999999999</v>
      </c>
    </row>
    <row r="6" spans="1:27" x14ac:dyDescent="0.35">
      <c r="A6">
        <v>4</v>
      </c>
      <c r="B6">
        <v>0.31029899999999999</v>
      </c>
      <c r="C6">
        <v>0.186228</v>
      </c>
      <c r="D6">
        <v>0.33141399999999999</v>
      </c>
      <c r="E6">
        <v>0.428562</v>
      </c>
      <c r="F6">
        <v>0.5</v>
      </c>
      <c r="G6">
        <v>0.57741500000000001</v>
      </c>
      <c r="H6">
        <v>0.64306300000000005</v>
      </c>
      <c r="I6">
        <v>0.69966399999999995</v>
      </c>
      <c r="J6">
        <v>0.74615699999999996</v>
      </c>
      <c r="K6">
        <v>0.78829000000000005</v>
      </c>
      <c r="L6">
        <v>0.82405899999999999</v>
      </c>
      <c r="M6">
        <v>0.85395500000000002</v>
      </c>
      <c r="N6">
        <v>0.87914099999999995</v>
      </c>
      <c r="O6">
        <v>0.90023299999999995</v>
      </c>
      <c r="P6">
        <v>0.91803999999999997</v>
      </c>
      <c r="Q6">
        <v>0.93265699999999996</v>
      </c>
      <c r="R6">
        <v>0.94494999999999996</v>
      </c>
      <c r="S6">
        <v>0.95499000000000001</v>
      </c>
      <c r="T6">
        <v>0.96340999999999999</v>
      </c>
      <c r="U6">
        <v>0.97021000000000002</v>
      </c>
      <c r="V6">
        <v>0.97589000000000004</v>
      </c>
      <c r="W6">
        <v>0.98043999999999998</v>
      </c>
      <c r="X6">
        <v>0.98421999999999998</v>
      </c>
      <c r="Y6">
        <v>0.98726000000000003</v>
      </c>
      <c r="Z6">
        <v>0.98975000000000002</v>
      </c>
      <c r="AA6">
        <v>0.99173999999999995</v>
      </c>
    </row>
    <row r="7" spans="1:27" x14ac:dyDescent="0.35">
      <c r="A7">
        <v>5</v>
      </c>
      <c r="B7">
        <v>0.19079599999999999</v>
      </c>
      <c r="C7">
        <v>0.15805900000000001</v>
      </c>
      <c r="D7">
        <v>0.25655299999999998</v>
      </c>
      <c r="E7">
        <v>0.35228700000000002</v>
      </c>
      <c r="F7">
        <v>0.42258499999999999</v>
      </c>
      <c r="G7">
        <v>0.5</v>
      </c>
      <c r="H7">
        <v>0.56662100000000004</v>
      </c>
      <c r="I7">
        <v>0.62665800000000005</v>
      </c>
      <c r="J7">
        <v>0.67818100000000003</v>
      </c>
      <c r="K7">
        <v>0.72550700000000001</v>
      </c>
      <c r="L7">
        <v>0.76705500000000004</v>
      </c>
      <c r="M7">
        <v>0.802732</v>
      </c>
      <c r="N7">
        <v>0.83365400000000001</v>
      </c>
      <c r="O7">
        <v>0.85993399999999998</v>
      </c>
      <c r="P7">
        <v>0.88286600000000004</v>
      </c>
      <c r="Q7">
        <v>0.90201299999999995</v>
      </c>
      <c r="R7">
        <v>0.91847000000000001</v>
      </c>
      <c r="S7">
        <v>0.93223</v>
      </c>
      <c r="T7">
        <v>0.94396999999999998</v>
      </c>
      <c r="U7">
        <v>0.95367000000000002</v>
      </c>
      <c r="V7">
        <v>0.96189000000000002</v>
      </c>
      <c r="W7">
        <v>0.96863999999999995</v>
      </c>
      <c r="X7">
        <v>0.97431999999999996</v>
      </c>
      <c r="Y7">
        <v>0.97896000000000005</v>
      </c>
      <c r="Z7">
        <v>0.98282999999999998</v>
      </c>
      <c r="AA7">
        <v>0.98599999999999999</v>
      </c>
    </row>
    <row r="8" spans="1:27" x14ac:dyDescent="0.35">
      <c r="A8">
        <v>6</v>
      </c>
      <c r="B8">
        <v>0.18116199999999999</v>
      </c>
      <c r="C8">
        <v>0.113133</v>
      </c>
      <c r="D8">
        <v>0.20100899999999999</v>
      </c>
      <c r="E8">
        <v>0.28839199999999998</v>
      </c>
      <c r="F8">
        <v>0.356937</v>
      </c>
      <c r="G8">
        <v>0.43337900000000001</v>
      </c>
      <c r="H8">
        <v>0.5</v>
      </c>
      <c r="I8">
        <v>0.56278300000000003</v>
      </c>
      <c r="J8">
        <v>0.61656100000000003</v>
      </c>
      <c r="K8">
        <v>0.66785600000000001</v>
      </c>
      <c r="L8">
        <v>0.71305700000000005</v>
      </c>
      <c r="M8">
        <v>0.75342699999999996</v>
      </c>
      <c r="N8">
        <v>0.78863399999999995</v>
      </c>
      <c r="O8">
        <v>0.81956899999999999</v>
      </c>
      <c r="P8">
        <v>0.84664799999999996</v>
      </c>
      <c r="Q8">
        <v>0.86999899999999997</v>
      </c>
      <c r="R8">
        <v>0.89020999999999995</v>
      </c>
      <c r="S8">
        <v>0.90756000000000003</v>
      </c>
      <c r="T8">
        <v>0.92245999999999995</v>
      </c>
      <c r="U8">
        <v>0.93508000000000002</v>
      </c>
      <c r="V8">
        <v>0.94582999999999995</v>
      </c>
      <c r="W8">
        <v>0.95487999999999995</v>
      </c>
      <c r="X8">
        <v>0.96253999999999995</v>
      </c>
      <c r="Y8">
        <v>0.96894000000000002</v>
      </c>
      <c r="Z8">
        <v>0.97431999999999996</v>
      </c>
      <c r="AA8">
        <v>0.97879000000000005</v>
      </c>
    </row>
    <row r="9" spans="1:27" x14ac:dyDescent="0.35">
      <c r="A9">
        <v>7</v>
      </c>
      <c r="B9">
        <v>0.115921</v>
      </c>
      <c r="C9">
        <v>9.2812000000000006E-2</v>
      </c>
      <c r="D9">
        <v>0.157859</v>
      </c>
      <c r="E9">
        <v>0.237452</v>
      </c>
      <c r="F9">
        <v>0.30033599999999999</v>
      </c>
      <c r="G9">
        <v>0.37334200000000001</v>
      </c>
      <c r="H9">
        <v>0.43721700000000002</v>
      </c>
      <c r="I9">
        <v>0.5</v>
      </c>
      <c r="J9">
        <v>0.55491900000000005</v>
      </c>
      <c r="K9">
        <v>0.60861399999999999</v>
      </c>
      <c r="L9">
        <v>0.65628299999999995</v>
      </c>
      <c r="M9">
        <v>0.70020899999999997</v>
      </c>
      <c r="N9">
        <v>0.73905399999999999</v>
      </c>
      <c r="O9">
        <v>0.77412099999999995</v>
      </c>
      <c r="P9">
        <v>0.805203</v>
      </c>
      <c r="Q9">
        <v>0.83256600000000003</v>
      </c>
      <c r="R9">
        <v>0.85658999999999996</v>
      </c>
      <c r="S9">
        <v>0.87761</v>
      </c>
      <c r="T9">
        <v>0.89590999999999998</v>
      </c>
      <c r="U9">
        <v>0.91171000000000002</v>
      </c>
      <c r="V9">
        <v>0.92535000000000001</v>
      </c>
      <c r="W9">
        <v>0.93701999999999996</v>
      </c>
      <c r="X9">
        <v>0.94703000000000004</v>
      </c>
      <c r="Y9">
        <v>0.95552999999999999</v>
      </c>
      <c r="Z9">
        <v>0.96275999999999995</v>
      </c>
      <c r="AA9">
        <v>0.96887000000000001</v>
      </c>
    </row>
    <row r="10" spans="1:27" x14ac:dyDescent="0.35">
      <c r="A10">
        <v>8</v>
      </c>
      <c r="B10">
        <v>0.10906</v>
      </c>
      <c r="C10">
        <v>6.7686999999999997E-2</v>
      </c>
      <c r="D10">
        <v>0.124802</v>
      </c>
      <c r="E10">
        <v>0.19514999999999999</v>
      </c>
      <c r="F10">
        <v>0.25384299999999999</v>
      </c>
      <c r="G10">
        <v>0.32181900000000002</v>
      </c>
      <c r="H10">
        <v>0.38343899999999997</v>
      </c>
      <c r="I10">
        <v>0.445081</v>
      </c>
      <c r="J10">
        <v>0.5</v>
      </c>
      <c r="K10">
        <v>0.55438399999999999</v>
      </c>
      <c r="L10">
        <v>0.60371799999999998</v>
      </c>
      <c r="M10">
        <v>0.649899</v>
      </c>
      <c r="N10">
        <v>0.69135599999999997</v>
      </c>
      <c r="O10">
        <v>0.72944699999999996</v>
      </c>
      <c r="P10">
        <v>0.76359299999999997</v>
      </c>
      <c r="Q10">
        <v>0.79439700000000002</v>
      </c>
      <c r="R10">
        <v>0.82157999999999998</v>
      </c>
      <c r="S10">
        <v>0.84577999999999998</v>
      </c>
      <c r="T10">
        <v>0.86714000000000002</v>
      </c>
      <c r="U10">
        <v>0.88588999999999996</v>
      </c>
      <c r="V10">
        <v>0.90229999999999999</v>
      </c>
      <c r="W10">
        <v>0.91657999999999995</v>
      </c>
      <c r="X10">
        <v>0.92898000000000003</v>
      </c>
      <c r="Y10">
        <v>0.93967999999999996</v>
      </c>
      <c r="Z10">
        <v>0.94891000000000003</v>
      </c>
      <c r="AA10">
        <v>0.95682</v>
      </c>
    </row>
    <row r="11" spans="1:27" x14ac:dyDescent="0.35">
      <c r="A11">
        <v>9</v>
      </c>
      <c r="B11">
        <v>6.973E-2</v>
      </c>
      <c r="C11">
        <v>5.6024999999999998E-2</v>
      </c>
      <c r="D11">
        <v>9.8280000000000006E-2</v>
      </c>
      <c r="E11">
        <v>0.159804</v>
      </c>
      <c r="F11">
        <v>0.21171000000000001</v>
      </c>
      <c r="G11">
        <v>0.27449299999999999</v>
      </c>
      <c r="H11">
        <v>0.33214399999999999</v>
      </c>
      <c r="I11">
        <v>0.39138600000000001</v>
      </c>
      <c r="J11">
        <v>0.44561600000000001</v>
      </c>
      <c r="K11">
        <v>0.5</v>
      </c>
      <c r="L11">
        <v>0.55019600000000002</v>
      </c>
      <c r="M11">
        <v>0.59792599999999996</v>
      </c>
      <c r="N11">
        <v>0.64148099999999997</v>
      </c>
      <c r="O11">
        <v>0.68211900000000003</v>
      </c>
      <c r="P11">
        <v>0.71892699999999998</v>
      </c>
      <c r="Q11">
        <v>0.75281399999999998</v>
      </c>
      <c r="R11">
        <v>0.78300999999999998</v>
      </c>
      <c r="S11">
        <v>0.81037000000000003</v>
      </c>
      <c r="T11">
        <v>0.83482999999999996</v>
      </c>
      <c r="U11">
        <v>0.85662000000000005</v>
      </c>
      <c r="V11">
        <v>0.87590999999999997</v>
      </c>
      <c r="W11">
        <v>0.89293999999999996</v>
      </c>
      <c r="X11">
        <v>0.90790999999999999</v>
      </c>
      <c r="Y11">
        <v>0.92098000000000002</v>
      </c>
      <c r="Z11">
        <v>0.93240000000000001</v>
      </c>
      <c r="AA11">
        <v>0.94230000000000003</v>
      </c>
    </row>
    <row r="12" spans="1:27" x14ac:dyDescent="0.35">
      <c r="A12">
        <v>10</v>
      </c>
      <c r="B12">
        <v>6.5160999999999997E-2</v>
      </c>
      <c r="C12">
        <v>4.0724999999999997E-2</v>
      </c>
      <c r="D12">
        <v>7.6966000000000007E-2</v>
      </c>
      <c r="E12">
        <v>0.129362</v>
      </c>
      <c r="F12">
        <v>0.17594099999999999</v>
      </c>
      <c r="G12">
        <v>0.23294500000000001</v>
      </c>
      <c r="H12">
        <v>0.286943</v>
      </c>
      <c r="I12">
        <v>0.34371699999999999</v>
      </c>
      <c r="J12">
        <v>0.39628200000000002</v>
      </c>
      <c r="K12">
        <v>0.44980399999999998</v>
      </c>
      <c r="L12">
        <v>0.5</v>
      </c>
      <c r="M12">
        <v>0.54854700000000001</v>
      </c>
      <c r="N12">
        <v>0.59345899999999996</v>
      </c>
      <c r="O12">
        <v>0.63588</v>
      </c>
      <c r="P12">
        <v>0.67483000000000004</v>
      </c>
      <c r="Q12">
        <v>0.711113</v>
      </c>
      <c r="R12">
        <v>0.74370999999999998</v>
      </c>
      <c r="S12">
        <v>0.77375000000000005</v>
      </c>
      <c r="T12">
        <v>0.80093000000000003</v>
      </c>
      <c r="U12">
        <v>0.82543</v>
      </c>
      <c r="V12">
        <v>0.84741</v>
      </c>
      <c r="W12">
        <v>0.86702999999999997</v>
      </c>
      <c r="X12">
        <v>0.88448000000000004</v>
      </c>
      <c r="Y12">
        <v>0.89990999999999999</v>
      </c>
      <c r="Z12">
        <v>0.91352999999999995</v>
      </c>
      <c r="AA12">
        <v>0.92549999999999999</v>
      </c>
    </row>
    <row r="13" spans="1:27" x14ac:dyDescent="0.35">
      <c r="A13">
        <v>11</v>
      </c>
      <c r="B13">
        <v>4.2069000000000002E-2</v>
      </c>
      <c r="C13">
        <v>3.3557999999999998E-2</v>
      </c>
      <c r="D13">
        <v>6.0689E-2</v>
      </c>
      <c r="E13">
        <v>0.105583</v>
      </c>
      <c r="F13">
        <v>0.14604500000000001</v>
      </c>
      <c r="G13">
        <v>0.197268</v>
      </c>
      <c r="H13">
        <v>0.24657299999999999</v>
      </c>
      <c r="I13">
        <v>0.29979099999999997</v>
      </c>
      <c r="J13">
        <v>0.350101</v>
      </c>
      <c r="K13">
        <v>0.40207399999999999</v>
      </c>
      <c r="L13">
        <v>0.45145299999999999</v>
      </c>
      <c r="M13">
        <v>0.5</v>
      </c>
      <c r="N13">
        <v>0.54555200000000004</v>
      </c>
      <c r="O13">
        <v>0.58924200000000004</v>
      </c>
      <c r="P13">
        <v>0.62973599999999996</v>
      </c>
      <c r="Q13">
        <v>0.66792700000000005</v>
      </c>
      <c r="R13">
        <v>0.70303000000000004</v>
      </c>
      <c r="S13">
        <v>0.73529999999999995</v>
      </c>
      <c r="T13">
        <v>0.76493999999999995</v>
      </c>
      <c r="U13">
        <v>0.79198000000000002</v>
      </c>
      <c r="V13">
        <v>0.81647999999999998</v>
      </c>
      <c r="W13">
        <v>0.83862000000000003</v>
      </c>
      <c r="X13">
        <v>0.85848999999999998</v>
      </c>
      <c r="Y13">
        <v>0.87629000000000001</v>
      </c>
      <c r="Z13">
        <v>0.89214000000000004</v>
      </c>
      <c r="AA13">
        <v>0.90622000000000003</v>
      </c>
    </row>
    <row r="14" spans="1:27" x14ac:dyDescent="0.35">
      <c r="A14">
        <v>12</v>
      </c>
      <c r="B14">
        <v>3.9059999999999997E-2</v>
      </c>
      <c r="C14">
        <v>2.4466000000000002E-2</v>
      </c>
      <c r="D14">
        <v>4.7530000000000003E-2</v>
      </c>
      <c r="E14">
        <v>8.5168999999999995E-2</v>
      </c>
      <c r="F14">
        <v>0.12085899999999999</v>
      </c>
      <c r="G14">
        <v>0.16634599999999999</v>
      </c>
      <c r="H14">
        <v>0.211366</v>
      </c>
      <c r="I14">
        <v>0.26094600000000001</v>
      </c>
      <c r="J14">
        <v>0.30864399999999997</v>
      </c>
      <c r="K14">
        <v>0.35851899999999998</v>
      </c>
      <c r="L14">
        <v>0.40654099999999999</v>
      </c>
      <c r="M14">
        <v>0.45444800000000002</v>
      </c>
      <c r="N14">
        <v>0.5</v>
      </c>
      <c r="O14">
        <v>0.544068</v>
      </c>
      <c r="P14">
        <v>0.58570100000000003</v>
      </c>
      <c r="Q14">
        <v>0.62525900000000001</v>
      </c>
      <c r="R14">
        <v>0.66178000000000003</v>
      </c>
      <c r="S14">
        <v>0.69610000000000005</v>
      </c>
      <c r="T14">
        <v>0.72777999999999998</v>
      </c>
      <c r="U14">
        <v>0.75702999999999998</v>
      </c>
      <c r="V14">
        <v>0.78381000000000001</v>
      </c>
      <c r="W14">
        <v>0.80825999999999998</v>
      </c>
      <c r="X14">
        <v>0.83043999999999996</v>
      </c>
      <c r="Y14">
        <v>0.85050999999999999</v>
      </c>
      <c r="Z14">
        <v>0.86856</v>
      </c>
      <c r="AA14">
        <v>0.88475999999999999</v>
      </c>
    </row>
    <row r="15" spans="1:27" x14ac:dyDescent="0.35">
      <c r="A15">
        <v>13</v>
      </c>
      <c r="B15">
        <v>2.5371000000000001E-2</v>
      </c>
      <c r="C15">
        <v>2.0154999999999999E-2</v>
      </c>
      <c r="D15">
        <v>3.7504999999999997E-2</v>
      </c>
      <c r="E15">
        <v>6.9297999999999998E-2</v>
      </c>
      <c r="F15">
        <v>9.9766999999999995E-2</v>
      </c>
      <c r="G15">
        <v>0.140066</v>
      </c>
      <c r="H15">
        <v>0.18043100000000001</v>
      </c>
      <c r="I15">
        <v>0.225879</v>
      </c>
      <c r="J15">
        <v>0.27055299999999999</v>
      </c>
      <c r="K15">
        <v>0.31788100000000002</v>
      </c>
      <c r="L15">
        <v>0.36412</v>
      </c>
      <c r="M15">
        <v>0.41075800000000001</v>
      </c>
      <c r="N15">
        <v>0.455932</v>
      </c>
      <c r="O15">
        <v>0.5</v>
      </c>
      <c r="P15">
        <v>0.54194299999999995</v>
      </c>
      <c r="Q15">
        <v>0.58254499999999998</v>
      </c>
      <c r="R15">
        <v>0.62036000000000002</v>
      </c>
      <c r="S15">
        <v>0.65619000000000005</v>
      </c>
      <c r="T15">
        <v>0.68966000000000005</v>
      </c>
      <c r="U15">
        <v>0.72080999999999995</v>
      </c>
      <c r="V15">
        <v>0.74963000000000002</v>
      </c>
      <c r="W15">
        <v>0.77619000000000005</v>
      </c>
      <c r="X15">
        <v>0.80054000000000003</v>
      </c>
      <c r="Y15">
        <v>0.82276000000000005</v>
      </c>
      <c r="Z15">
        <v>0.84294999999999998</v>
      </c>
      <c r="AA15">
        <v>0.86123000000000005</v>
      </c>
    </row>
    <row r="16" spans="1:27" x14ac:dyDescent="0.35">
      <c r="A16">
        <v>14</v>
      </c>
      <c r="B16">
        <v>2.3428000000000001E-2</v>
      </c>
      <c r="C16">
        <v>1.4727000000000001E-2</v>
      </c>
      <c r="D16">
        <v>2.9298999999999999E-2</v>
      </c>
      <c r="E16">
        <v>5.5573999999999998E-2</v>
      </c>
      <c r="F16">
        <v>8.1960000000000005E-2</v>
      </c>
      <c r="G16">
        <v>0.117134</v>
      </c>
      <c r="H16">
        <v>0.15335199999999999</v>
      </c>
      <c r="I16">
        <v>0.194797</v>
      </c>
      <c r="J16">
        <v>0.23640700000000001</v>
      </c>
      <c r="K16">
        <v>0.28107300000000002</v>
      </c>
      <c r="L16">
        <v>0.32517000000000001</v>
      </c>
      <c r="M16">
        <v>0.37026399999999998</v>
      </c>
      <c r="N16">
        <v>0.41429899999999997</v>
      </c>
      <c r="O16">
        <v>0.45805699999999999</v>
      </c>
      <c r="P16">
        <v>0.5</v>
      </c>
      <c r="Q16">
        <v>0.54074999999999995</v>
      </c>
      <c r="R16">
        <v>0.57942000000000005</v>
      </c>
      <c r="S16">
        <v>0.61634</v>
      </c>
      <c r="T16">
        <v>0.65117000000000003</v>
      </c>
      <c r="U16">
        <v>0.68391000000000002</v>
      </c>
      <c r="V16">
        <v>0.71448</v>
      </c>
      <c r="W16">
        <v>0.7429</v>
      </c>
      <c r="X16">
        <v>0.76917000000000002</v>
      </c>
      <c r="Y16">
        <v>0.79339000000000004</v>
      </c>
      <c r="Z16">
        <v>0.81559000000000004</v>
      </c>
      <c r="AA16">
        <v>0.83586000000000005</v>
      </c>
    </row>
    <row r="17" spans="1:27" x14ac:dyDescent="0.35">
      <c r="A17">
        <v>15</v>
      </c>
      <c r="B17">
        <v>1.5304E-2</v>
      </c>
      <c r="C17">
        <v>1.2107E-2</v>
      </c>
      <c r="D17">
        <v>2.3113000000000002E-2</v>
      </c>
      <c r="E17">
        <v>4.5068999999999998E-2</v>
      </c>
      <c r="F17">
        <v>6.7343E-2</v>
      </c>
      <c r="G17">
        <v>9.7987000000000005E-2</v>
      </c>
      <c r="H17">
        <v>0.13000100000000001</v>
      </c>
      <c r="I17">
        <v>0.167434</v>
      </c>
      <c r="J17">
        <v>0.20560300000000001</v>
      </c>
      <c r="K17">
        <v>0.24718599999999999</v>
      </c>
      <c r="L17">
        <v>0.288887</v>
      </c>
      <c r="M17">
        <v>0.33207300000000001</v>
      </c>
      <c r="N17">
        <v>0.37474099999999999</v>
      </c>
      <c r="O17">
        <v>0.41745500000000002</v>
      </c>
      <c r="P17">
        <v>0.45924999999999999</v>
      </c>
      <c r="Q17">
        <v>0.5</v>
      </c>
      <c r="R17">
        <v>0.53915999999999997</v>
      </c>
      <c r="S17">
        <v>0.57679000000000002</v>
      </c>
      <c r="T17">
        <v>0.61260999999999999</v>
      </c>
      <c r="U17">
        <v>0.64659</v>
      </c>
      <c r="V17">
        <v>0.67859000000000003</v>
      </c>
      <c r="W17">
        <v>0.70862000000000003</v>
      </c>
      <c r="X17">
        <v>0.73663999999999996</v>
      </c>
      <c r="Y17">
        <v>0.76265000000000005</v>
      </c>
      <c r="Z17">
        <v>0.78669</v>
      </c>
      <c r="AA17">
        <v>0.80883000000000005</v>
      </c>
    </row>
    <row r="18" spans="1:27" x14ac:dyDescent="0.35">
      <c r="A18">
        <v>16</v>
      </c>
      <c r="B18">
        <v>1.405E-2</v>
      </c>
      <c r="C18">
        <v>8.8599999999999998E-3</v>
      </c>
      <c r="D18">
        <v>1.804E-2</v>
      </c>
      <c r="E18">
        <v>3.601E-2</v>
      </c>
      <c r="F18">
        <v>5.5050000000000002E-2</v>
      </c>
      <c r="G18">
        <v>8.1530000000000005E-2</v>
      </c>
      <c r="H18">
        <v>0.10979</v>
      </c>
      <c r="I18">
        <v>0.14341000000000001</v>
      </c>
      <c r="J18">
        <v>0.17842</v>
      </c>
      <c r="K18">
        <v>0.21698999999999999</v>
      </c>
      <c r="L18">
        <v>0.25629000000000002</v>
      </c>
      <c r="M18">
        <v>0.29697000000000001</v>
      </c>
      <c r="N18">
        <v>0.33822000000000002</v>
      </c>
      <c r="O18">
        <v>0.37963999999999998</v>
      </c>
      <c r="P18">
        <v>0.42058000000000001</v>
      </c>
      <c r="Q18">
        <v>0.46084000000000003</v>
      </c>
      <c r="R18">
        <v>0.5</v>
      </c>
      <c r="S18">
        <v>0.53795999999999999</v>
      </c>
      <c r="T18">
        <v>0.57440999999999998</v>
      </c>
      <c r="U18">
        <v>0.60929</v>
      </c>
      <c r="V18">
        <v>0.64241000000000004</v>
      </c>
      <c r="W18">
        <v>0.67376000000000003</v>
      </c>
      <c r="X18">
        <v>0.70323000000000002</v>
      </c>
      <c r="Y18">
        <v>0.73084000000000005</v>
      </c>
      <c r="Z18">
        <v>0.75656999999999996</v>
      </c>
      <c r="AA18">
        <v>0.78046000000000004</v>
      </c>
    </row>
    <row r="19" spans="1:27" x14ac:dyDescent="0.35">
      <c r="A19">
        <v>17</v>
      </c>
      <c r="B19">
        <v>9.2399999999999999E-3</v>
      </c>
      <c r="C19">
        <v>7.2700000000000004E-3</v>
      </c>
      <c r="D19">
        <v>1.4200000000000001E-2</v>
      </c>
      <c r="E19">
        <v>2.9069999999999999E-2</v>
      </c>
      <c r="F19">
        <v>4.5010000000000001E-2</v>
      </c>
      <c r="G19">
        <v>6.7769999999999997E-2</v>
      </c>
      <c r="H19">
        <v>9.2439999999999994E-2</v>
      </c>
      <c r="I19">
        <v>0.12239</v>
      </c>
      <c r="J19">
        <v>0.15422</v>
      </c>
      <c r="K19">
        <v>0.18962999999999999</v>
      </c>
      <c r="L19">
        <v>0.22625000000000001</v>
      </c>
      <c r="M19">
        <v>0.26469999999999999</v>
      </c>
      <c r="N19">
        <v>0.3039</v>
      </c>
      <c r="O19">
        <v>0.34381</v>
      </c>
      <c r="P19">
        <v>0.38366</v>
      </c>
      <c r="Q19">
        <v>0.42320999999999998</v>
      </c>
      <c r="R19">
        <v>0.46204000000000001</v>
      </c>
      <c r="S19">
        <v>0.5</v>
      </c>
      <c r="T19">
        <v>0.53676000000000001</v>
      </c>
      <c r="U19">
        <v>0.57221999999999995</v>
      </c>
      <c r="V19">
        <v>0.60618000000000005</v>
      </c>
      <c r="W19">
        <v>0.63856000000000002</v>
      </c>
      <c r="X19">
        <v>0.66925000000000001</v>
      </c>
      <c r="Y19">
        <v>0.69821999999999995</v>
      </c>
      <c r="Z19">
        <v>0.72541999999999995</v>
      </c>
      <c r="AA19">
        <v>0.75087000000000004</v>
      </c>
    </row>
    <row r="20" spans="1:27" x14ac:dyDescent="0.35">
      <c r="A20">
        <v>18</v>
      </c>
      <c r="B20">
        <v>8.4200000000000004E-3</v>
      </c>
      <c r="C20">
        <v>5.3299999999999997E-3</v>
      </c>
      <c r="D20">
        <v>1.107E-2</v>
      </c>
      <c r="E20">
        <v>2.3130000000000001E-2</v>
      </c>
      <c r="F20">
        <v>3.6589999999999998E-2</v>
      </c>
      <c r="G20">
        <v>5.6030000000000003E-2</v>
      </c>
      <c r="H20">
        <v>7.7539999999999998E-2</v>
      </c>
      <c r="I20">
        <v>0.10409</v>
      </c>
      <c r="J20">
        <v>0.13286000000000001</v>
      </c>
      <c r="K20">
        <v>0.16517000000000001</v>
      </c>
      <c r="L20">
        <v>0.19907</v>
      </c>
      <c r="M20">
        <v>0.23505999999999999</v>
      </c>
      <c r="N20">
        <v>0.27222000000000002</v>
      </c>
      <c r="O20">
        <v>0.31034</v>
      </c>
      <c r="P20">
        <v>0.34882999999999997</v>
      </c>
      <c r="Q20">
        <v>0.38739000000000001</v>
      </c>
      <c r="R20">
        <v>0.42559000000000002</v>
      </c>
      <c r="S20">
        <v>0.46323999999999999</v>
      </c>
      <c r="T20">
        <v>0.5</v>
      </c>
      <c r="U20">
        <v>0.53573999999999999</v>
      </c>
      <c r="V20">
        <v>0.57023000000000001</v>
      </c>
      <c r="W20">
        <v>0.60336000000000001</v>
      </c>
      <c r="X20">
        <v>0.63500999999999996</v>
      </c>
      <c r="Y20">
        <v>0.66510000000000002</v>
      </c>
      <c r="Z20">
        <v>0.69355999999999995</v>
      </c>
      <c r="AA20">
        <v>0.72038000000000002</v>
      </c>
    </row>
    <row r="21" spans="1:27" x14ac:dyDescent="0.35">
      <c r="A21">
        <v>19</v>
      </c>
      <c r="B21">
        <v>5.5599999999999998E-3</v>
      </c>
      <c r="C21">
        <v>4.3699999999999998E-3</v>
      </c>
      <c r="D21">
        <v>8.7100000000000007E-3</v>
      </c>
      <c r="E21">
        <v>1.8610000000000002E-2</v>
      </c>
      <c r="F21">
        <v>2.9790000000000001E-2</v>
      </c>
      <c r="G21">
        <v>4.6330000000000003E-2</v>
      </c>
      <c r="H21">
        <v>6.4920000000000005E-2</v>
      </c>
      <c r="I21">
        <v>8.8289999999999993E-2</v>
      </c>
      <c r="J21">
        <v>0.11411</v>
      </c>
      <c r="K21">
        <v>0.14338000000000001</v>
      </c>
      <c r="L21">
        <v>0.17457</v>
      </c>
      <c r="M21">
        <v>0.20802000000000001</v>
      </c>
      <c r="N21">
        <v>0.24296999999999999</v>
      </c>
      <c r="O21">
        <v>0.27918999999999999</v>
      </c>
      <c r="P21">
        <v>0.31608999999999998</v>
      </c>
      <c r="Q21">
        <v>0.35341</v>
      </c>
      <c r="R21">
        <v>0.39071</v>
      </c>
      <c r="S21">
        <v>0.42777999999999999</v>
      </c>
      <c r="T21">
        <v>0.46426000000000001</v>
      </c>
      <c r="U21">
        <v>0.5</v>
      </c>
      <c r="V21">
        <v>0.53474999999999995</v>
      </c>
      <c r="W21">
        <v>0.56838</v>
      </c>
      <c r="X21">
        <v>0.60072999999999999</v>
      </c>
      <c r="Y21">
        <v>0.63170999999999999</v>
      </c>
      <c r="Z21">
        <v>0.66122000000000003</v>
      </c>
      <c r="AA21">
        <v>0.68920999999999999</v>
      </c>
    </row>
    <row r="22" spans="1:27" x14ac:dyDescent="0.35">
      <c r="A22">
        <v>20</v>
      </c>
      <c r="B22">
        <v>5.0499999999999998E-3</v>
      </c>
      <c r="C22">
        <v>3.2100000000000002E-3</v>
      </c>
      <c r="D22">
        <v>6.7799999999999996E-3</v>
      </c>
      <c r="E22">
        <v>1.478E-2</v>
      </c>
      <c r="F22">
        <v>2.4109999999999999E-2</v>
      </c>
      <c r="G22">
        <v>3.8109999999999998E-2</v>
      </c>
      <c r="H22">
        <v>5.4170000000000003E-2</v>
      </c>
      <c r="I22">
        <v>7.4649999999999994E-2</v>
      </c>
      <c r="J22">
        <v>9.7699999999999995E-2</v>
      </c>
      <c r="K22">
        <v>0.12409000000000001</v>
      </c>
      <c r="L22">
        <v>0.15259</v>
      </c>
      <c r="M22">
        <v>0.18351999999999999</v>
      </c>
      <c r="N22">
        <v>0.21618999999999999</v>
      </c>
      <c r="O22">
        <v>0.25036999999999998</v>
      </c>
      <c r="P22">
        <v>0.28552</v>
      </c>
      <c r="Q22">
        <v>0.32140999999999997</v>
      </c>
      <c r="R22">
        <v>0.35759000000000002</v>
      </c>
      <c r="S22">
        <v>0.39382</v>
      </c>
      <c r="T22">
        <v>0.42976999999999999</v>
      </c>
      <c r="U22">
        <v>0.46525</v>
      </c>
      <c r="V22">
        <v>0.5</v>
      </c>
      <c r="W22">
        <v>0.53386999999999996</v>
      </c>
      <c r="X22">
        <v>0.56667000000000001</v>
      </c>
      <c r="Y22">
        <v>0.59830000000000005</v>
      </c>
      <c r="Z22">
        <v>0.62863999999999998</v>
      </c>
      <c r="AA22">
        <v>0.65759999999999996</v>
      </c>
    </row>
    <row r="23" spans="1:27" x14ac:dyDescent="0.35">
      <c r="A23">
        <v>21</v>
      </c>
      <c r="B23">
        <v>3.3600000000000001E-3</v>
      </c>
      <c r="C23">
        <v>2.63E-3</v>
      </c>
      <c r="D23">
        <v>5.3400000000000001E-3</v>
      </c>
      <c r="E23">
        <v>1.1860000000000001E-2</v>
      </c>
      <c r="F23">
        <v>1.9560000000000001E-2</v>
      </c>
      <c r="G23">
        <v>3.1359999999999999E-2</v>
      </c>
      <c r="H23">
        <v>4.512E-2</v>
      </c>
      <c r="I23">
        <v>6.2979999999999994E-2</v>
      </c>
      <c r="J23">
        <v>8.3419999999999994E-2</v>
      </c>
      <c r="K23">
        <v>0.10706</v>
      </c>
      <c r="L23">
        <v>0.13297</v>
      </c>
      <c r="M23">
        <v>0.16138</v>
      </c>
      <c r="N23">
        <v>0.19173999999999999</v>
      </c>
      <c r="O23">
        <v>0.22381000000000001</v>
      </c>
      <c r="P23">
        <v>0.2571</v>
      </c>
      <c r="Q23">
        <v>0.29137999999999997</v>
      </c>
      <c r="R23">
        <v>0.32623999999999997</v>
      </c>
      <c r="S23">
        <v>0.36143999999999998</v>
      </c>
      <c r="T23">
        <v>0.39663999999999999</v>
      </c>
      <c r="U23">
        <v>0.43162</v>
      </c>
      <c r="V23">
        <v>0.46612999999999999</v>
      </c>
      <c r="W23">
        <v>0.5</v>
      </c>
      <c r="X23">
        <v>0.53303</v>
      </c>
      <c r="Y23">
        <v>0.56508000000000003</v>
      </c>
      <c r="Z23">
        <v>0.59602999999999995</v>
      </c>
      <c r="AA23">
        <v>0.62575999999999998</v>
      </c>
    </row>
    <row r="24" spans="1:27" x14ac:dyDescent="0.35">
      <c r="A24">
        <v>22</v>
      </c>
      <c r="B24">
        <v>3.0300000000000001E-3</v>
      </c>
      <c r="C24">
        <v>1.9300000000000001E-3</v>
      </c>
      <c r="D24">
        <v>4.15E-3</v>
      </c>
      <c r="E24">
        <v>9.3799999999999994E-3</v>
      </c>
      <c r="F24">
        <v>1.5779999999999999E-2</v>
      </c>
      <c r="G24">
        <v>2.5680000000000001E-2</v>
      </c>
      <c r="H24">
        <v>3.746E-2</v>
      </c>
      <c r="I24">
        <v>5.2970000000000003E-2</v>
      </c>
      <c r="J24">
        <v>7.102E-2</v>
      </c>
      <c r="K24">
        <v>9.2090000000000005E-2</v>
      </c>
      <c r="L24">
        <v>0.11552</v>
      </c>
      <c r="M24">
        <v>0.14151</v>
      </c>
      <c r="N24">
        <v>0.16955999999999999</v>
      </c>
      <c r="O24">
        <v>0.19946</v>
      </c>
      <c r="P24">
        <v>0.23083000000000001</v>
      </c>
      <c r="Q24">
        <v>0.26335999999999998</v>
      </c>
      <c r="R24">
        <v>0.29676999999999998</v>
      </c>
      <c r="S24">
        <v>0.33074999999999999</v>
      </c>
      <c r="T24">
        <v>0.36498999999999998</v>
      </c>
      <c r="U24">
        <v>0.39927000000000001</v>
      </c>
      <c r="V24">
        <v>0.43332999999999999</v>
      </c>
      <c r="W24">
        <v>0.46697</v>
      </c>
      <c r="X24">
        <v>0.5</v>
      </c>
      <c r="Y24">
        <v>0.53225999999999996</v>
      </c>
      <c r="Z24">
        <v>0.56359999999999999</v>
      </c>
      <c r="AA24">
        <v>0.59391000000000005</v>
      </c>
    </row>
    <row r="25" spans="1:27" x14ac:dyDescent="0.35">
      <c r="A25">
        <v>23</v>
      </c>
      <c r="B25">
        <v>2.0300000000000001E-3</v>
      </c>
      <c r="C25">
        <v>1.58E-3</v>
      </c>
      <c r="D25">
        <v>3.2499999999999999E-3</v>
      </c>
      <c r="E25">
        <v>7.5199999999999998E-3</v>
      </c>
      <c r="F25">
        <v>1.274E-2</v>
      </c>
      <c r="G25">
        <v>2.104E-2</v>
      </c>
      <c r="H25">
        <v>3.1060000000000001E-2</v>
      </c>
      <c r="I25">
        <v>4.4470000000000003E-2</v>
      </c>
      <c r="J25">
        <v>6.0319999999999999E-2</v>
      </c>
      <c r="K25">
        <v>7.9020000000000007E-2</v>
      </c>
      <c r="L25">
        <v>0.10009</v>
      </c>
      <c r="M25">
        <v>0.12371</v>
      </c>
      <c r="N25">
        <v>0.14949000000000001</v>
      </c>
      <c r="O25">
        <v>0.17724000000000001</v>
      </c>
      <c r="P25">
        <v>0.20660999999999999</v>
      </c>
      <c r="Q25">
        <v>0.23735000000000001</v>
      </c>
      <c r="R25">
        <v>0.26916000000000001</v>
      </c>
      <c r="S25">
        <v>0.30177999999999999</v>
      </c>
      <c r="T25">
        <v>0.33489999999999998</v>
      </c>
      <c r="U25">
        <v>0.36829000000000001</v>
      </c>
      <c r="V25">
        <v>0.4017</v>
      </c>
      <c r="W25">
        <v>0.43491999999999997</v>
      </c>
      <c r="X25">
        <v>0.46773999999999999</v>
      </c>
      <c r="Y25">
        <v>0.5</v>
      </c>
      <c r="Z25">
        <v>0.53152999999999995</v>
      </c>
      <c r="AA25">
        <v>0.56220999999999999</v>
      </c>
    </row>
    <row r="26" spans="1:27" x14ac:dyDescent="0.35">
      <c r="A26">
        <v>24</v>
      </c>
      <c r="B26">
        <v>1.82E-3</v>
      </c>
      <c r="C26">
        <v>1.16E-3</v>
      </c>
      <c r="D26">
        <v>2.5400000000000002E-3</v>
      </c>
      <c r="E26">
        <v>5.9300000000000004E-3</v>
      </c>
      <c r="F26">
        <v>1.025E-2</v>
      </c>
      <c r="G26">
        <v>1.7170000000000001E-2</v>
      </c>
      <c r="H26">
        <v>2.5680000000000001E-2</v>
      </c>
      <c r="I26">
        <v>3.7240000000000002E-2</v>
      </c>
      <c r="J26">
        <v>5.1090000000000003E-2</v>
      </c>
      <c r="K26">
        <v>6.7599999999999993E-2</v>
      </c>
      <c r="L26">
        <v>8.6470000000000005E-2</v>
      </c>
      <c r="M26">
        <v>0.10786</v>
      </c>
      <c r="N26">
        <v>0.13144</v>
      </c>
      <c r="O26">
        <v>0.15705</v>
      </c>
      <c r="P26">
        <v>0.18440999999999999</v>
      </c>
      <c r="Q26">
        <v>0.21331</v>
      </c>
      <c r="R26">
        <v>0.24343000000000001</v>
      </c>
      <c r="S26">
        <v>0.27457999999999999</v>
      </c>
      <c r="T26">
        <v>0.30643999999999999</v>
      </c>
      <c r="U26">
        <v>0.33878000000000003</v>
      </c>
      <c r="V26">
        <v>0.37136000000000002</v>
      </c>
      <c r="W26">
        <v>0.40397</v>
      </c>
      <c r="X26">
        <v>0.43640000000000001</v>
      </c>
      <c r="Y26">
        <v>0.46847</v>
      </c>
      <c r="Z26">
        <v>0.5</v>
      </c>
      <c r="AA26">
        <v>0.53086</v>
      </c>
    </row>
    <row r="27" spans="1:27" x14ac:dyDescent="0.35">
      <c r="A27">
        <v>25</v>
      </c>
      <c r="B27">
        <v>1.23E-3</v>
      </c>
      <c r="C27">
        <v>9.5E-4</v>
      </c>
      <c r="D27">
        <v>1.98E-3</v>
      </c>
      <c r="E27">
        <v>4.7299999999999998E-3</v>
      </c>
      <c r="F27">
        <v>8.26E-3</v>
      </c>
      <c r="G27">
        <v>1.4E-2</v>
      </c>
      <c r="H27">
        <v>2.121E-2</v>
      </c>
      <c r="I27">
        <v>3.1130000000000001E-2</v>
      </c>
      <c r="J27">
        <v>4.3180000000000003E-2</v>
      </c>
      <c r="K27">
        <v>5.7700000000000001E-2</v>
      </c>
      <c r="L27">
        <v>7.4499999999999997E-2</v>
      </c>
      <c r="M27">
        <v>9.3780000000000002E-2</v>
      </c>
      <c r="N27">
        <v>0.11524</v>
      </c>
      <c r="O27">
        <v>0.13877</v>
      </c>
      <c r="P27">
        <v>0.16414000000000001</v>
      </c>
      <c r="Q27">
        <v>0.19117000000000001</v>
      </c>
      <c r="R27">
        <v>0.21954000000000001</v>
      </c>
      <c r="S27">
        <v>0.24912999999999999</v>
      </c>
      <c r="T27">
        <v>0.27961999999999998</v>
      </c>
      <c r="U27">
        <v>0.31079000000000001</v>
      </c>
      <c r="V27">
        <v>0.34239999999999998</v>
      </c>
      <c r="W27">
        <v>0.37424000000000002</v>
      </c>
      <c r="X27">
        <v>0.40609000000000001</v>
      </c>
      <c r="Y27">
        <v>0.43779000000000001</v>
      </c>
      <c r="Z27">
        <v>0.46914</v>
      </c>
      <c r="AA27">
        <v>0.5</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52</vt:i4>
      </vt:variant>
    </vt:vector>
  </HeadingPairs>
  <TitlesOfParts>
    <vt:vector size="66" baseType="lpstr">
      <vt:lpstr>Leagues</vt:lpstr>
      <vt:lpstr>Readme</vt:lpstr>
      <vt:lpstr>Players</vt:lpstr>
      <vt:lpstr>Matches</vt:lpstr>
      <vt:lpstr>Table</vt:lpstr>
      <vt:lpstr>Links</vt:lpstr>
      <vt:lpstr>tmpLinks</vt:lpstr>
      <vt:lpstr>Progress</vt:lpstr>
      <vt:lpstr>Profilseiten</vt:lpstr>
      <vt:lpstr>App-Matches</vt:lpstr>
      <vt:lpstr>App-Table</vt:lpstr>
      <vt:lpstr>Tournament win prognosis</vt:lpstr>
      <vt:lpstr>Match win prognosis</vt:lpstr>
      <vt:lpstr>Rockwell-Kazaross MET</vt:lpstr>
      <vt:lpstr>'Match win prognosis'!Ergebnismatrix</vt:lpstr>
      <vt:lpstr>Ergebnismatrix</vt:lpstr>
      <vt:lpstr>FinishedMatches</vt:lpstr>
      <vt:lpstr>FinishedMatchesPercent</vt:lpstr>
      <vt:lpstr>Group</vt:lpstr>
      <vt:lpstr>'Match win prognosis'!GROUP_PROGRESS</vt:lpstr>
      <vt:lpstr>GROUP_PROGRESS_TURZ</vt:lpstr>
      <vt:lpstr>GROUP_TABLE</vt:lpstr>
      <vt:lpstr>LEAGUE_DATA</vt:lpstr>
      <vt:lpstr>MatchesPerPlayer</vt:lpstr>
      <vt:lpstr>NoOfPlayers</vt:lpstr>
      <vt:lpstr>'Match win prognosis'!Player1</vt:lpstr>
      <vt:lpstr>'Rockwell-Kazaross MET'!Player1</vt:lpstr>
      <vt:lpstr>'Tournament win prognosis'!Player1</vt:lpstr>
      <vt:lpstr>Player1</vt:lpstr>
      <vt:lpstr>'Match win prognosis'!Player10</vt:lpstr>
      <vt:lpstr>'Rockwell-Kazaross MET'!Player10</vt:lpstr>
      <vt:lpstr>'Tournament win prognosis'!Player10</vt:lpstr>
      <vt:lpstr>Player10</vt:lpstr>
      <vt:lpstr>'Match win prognosis'!Player2</vt:lpstr>
      <vt:lpstr>'Rockwell-Kazaross MET'!Player2</vt:lpstr>
      <vt:lpstr>'Tournament win prognosis'!Player2</vt:lpstr>
      <vt:lpstr>Player2</vt:lpstr>
      <vt:lpstr>'Match win prognosis'!Player3</vt:lpstr>
      <vt:lpstr>'Rockwell-Kazaross MET'!Player3</vt:lpstr>
      <vt:lpstr>'Tournament win prognosis'!Player3</vt:lpstr>
      <vt:lpstr>Player3</vt:lpstr>
      <vt:lpstr>'Match win prognosis'!Player4</vt:lpstr>
      <vt:lpstr>'Rockwell-Kazaross MET'!Player4</vt:lpstr>
      <vt:lpstr>'Tournament win prognosis'!Player4</vt:lpstr>
      <vt:lpstr>Player4</vt:lpstr>
      <vt:lpstr>'Match win prognosis'!Player5</vt:lpstr>
      <vt:lpstr>'Rockwell-Kazaross MET'!Player5</vt:lpstr>
      <vt:lpstr>'Tournament win prognosis'!Player5</vt:lpstr>
      <vt:lpstr>Player5</vt:lpstr>
      <vt:lpstr>'Match win prognosis'!Player6</vt:lpstr>
      <vt:lpstr>'Rockwell-Kazaross MET'!Player6</vt:lpstr>
      <vt:lpstr>'Tournament win prognosis'!Player6</vt:lpstr>
      <vt:lpstr>Player6</vt:lpstr>
      <vt:lpstr>'Match win prognosis'!Player7</vt:lpstr>
      <vt:lpstr>'Rockwell-Kazaross MET'!Player7</vt:lpstr>
      <vt:lpstr>'Tournament win prognosis'!Player7</vt:lpstr>
      <vt:lpstr>Player7</vt:lpstr>
      <vt:lpstr>'Match win prognosis'!Player8</vt:lpstr>
      <vt:lpstr>'Rockwell-Kazaross MET'!Player8</vt:lpstr>
      <vt:lpstr>'Tournament win prognosis'!Player8</vt:lpstr>
      <vt:lpstr>Player8</vt:lpstr>
      <vt:lpstr>'Match win prognosis'!Player9</vt:lpstr>
      <vt:lpstr>'Rockwell-Kazaross MET'!Player9</vt:lpstr>
      <vt:lpstr>'Tournament win prognosis'!Player9</vt:lpstr>
      <vt:lpstr>Player9</vt:lpstr>
      <vt:lpstr>TotalMatches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rainer</dc:creator>
  <cp:lastModifiedBy>Rainer Rogatzki</cp:lastModifiedBy>
  <dcterms:created xsi:type="dcterms:W3CDTF">2019-06-30T12:06:23Z</dcterms:created>
  <dcterms:modified xsi:type="dcterms:W3CDTF">2025-08-06T09:44:51Z</dcterms:modified>
</cp:coreProperties>
</file>
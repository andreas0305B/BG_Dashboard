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Backgammon-Meisterschaft.de\34th-season\"/>
    </mc:Choice>
  </mc:AlternateContent>
  <xr:revisionPtr revIDLastSave="0" documentId="13_ncr:1_{84AF0604-E6BA-4ED4-B67C-E77911A5DD5A}" xr6:coauthVersionLast="47" xr6:coauthVersionMax="47" xr10:uidLastSave="{00000000-0000-0000-0000-000000000000}"/>
  <bookViews>
    <workbookView xWindow="-110" yWindow="-110" windowWidth="25820" windowHeight="15500" activeTab="2" xr2:uid="{A86287CC-EDD3-48B5-8BA4-B80773EFDBF5}"/>
  </bookViews>
  <sheets>
    <sheet name="new league structure" sheetId="31" r:id="rId1"/>
    <sheet name="Info for Memberlist" sheetId="24" r:id="rId2"/>
    <sheet name="Members" sheetId="5" r:id="rId3"/>
    <sheet name="Tabelle1" sheetId="32" r:id="rId4"/>
    <sheet name="Moderators" sheetId="7" r:id="rId5"/>
    <sheet name="Invitations" sheetId="15" r:id="rId6"/>
    <sheet name="New members" sheetId="29" r:id="rId7"/>
    <sheet name="GetUserProfiles" sheetId="28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7" hidden="1">GetUserProfiles!$A$5:$D$194</definedName>
    <definedName name="_xlnm._FilterDatabase" localSheetId="1" hidden="1">'Info for Memberlist'!$A$1:$C$1</definedName>
    <definedName name="_xlnm._FilterDatabase" localSheetId="2" hidden="1">Members!$A$1:$AB$193</definedName>
    <definedName name="_xlnm._FilterDatabase" localSheetId="4" hidden="1">Moderators!$A$2:$W$21</definedName>
    <definedName name="Ergebnismatrix" localSheetId="0">#REF!</definedName>
    <definedName name="Ergebnismatrix">#REF!</definedName>
    <definedName name="Player10">[1]Players!$A$11</definedName>
    <definedName name="Player2">[2]Players!$A$3</definedName>
    <definedName name="Player4">[3]Players!$A$5</definedName>
    <definedName name="Player6">[2]Players!$A$7</definedName>
    <definedName name="SEASON_PROGRESS">#REF!</definedName>
    <definedName name="te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18" i="5" l="1"/>
  <c r="X118" i="5"/>
  <c r="W118" i="5"/>
  <c r="E118" i="5"/>
  <c r="B118" i="5"/>
  <c r="E169" i="5"/>
  <c r="E159" i="5"/>
  <c r="E157" i="5"/>
  <c r="E156" i="5"/>
  <c r="E167" i="5"/>
  <c r="E147" i="5"/>
  <c r="E150" i="5"/>
  <c r="E148" i="5"/>
  <c r="E164" i="5"/>
  <c r="E151" i="5"/>
  <c r="E143" i="5"/>
  <c r="E141" i="5"/>
  <c r="E161" i="5"/>
  <c r="E158" i="5"/>
  <c r="E155" i="5"/>
  <c r="E135" i="5"/>
  <c r="E134" i="5"/>
  <c r="E132" i="5"/>
  <c r="E133" i="5"/>
  <c r="E129" i="5"/>
  <c r="E130" i="5"/>
  <c r="E108" i="5"/>
  <c r="E4" i="5"/>
  <c r="E66" i="5"/>
  <c r="E15" i="5"/>
  <c r="E124" i="5"/>
  <c r="E92" i="5"/>
  <c r="X109" i="5"/>
  <c r="E117" i="5"/>
  <c r="E126" i="5"/>
  <c r="E106" i="5"/>
  <c r="E69" i="5"/>
  <c r="E5" i="5"/>
  <c r="E56" i="5"/>
  <c r="E27" i="5"/>
  <c r="E111" i="5"/>
  <c r="E41" i="5"/>
  <c r="E78" i="5"/>
  <c r="E107" i="5"/>
  <c r="E67" i="5"/>
  <c r="E26" i="5"/>
  <c r="E33" i="5"/>
  <c r="E85" i="5"/>
  <c r="E82" i="5"/>
  <c r="E48" i="5"/>
  <c r="E38" i="5"/>
  <c r="E46" i="5"/>
  <c r="E88" i="5"/>
  <c r="E84" i="5"/>
  <c r="E100" i="5"/>
  <c r="E98" i="5"/>
  <c r="E95" i="5"/>
  <c r="E35" i="5"/>
  <c r="E74" i="5"/>
  <c r="E64" i="5"/>
  <c r="E43" i="5"/>
  <c r="E2" i="5"/>
  <c r="E50" i="5"/>
  <c r="E77" i="5"/>
  <c r="E125" i="5"/>
  <c r="E68" i="5"/>
  <c r="E90" i="5"/>
  <c r="E96" i="5"/>
  <c r="E94" i="5"/>
  <c r="E104" i="5"/>
  <c r="E75" i="5"/>
  <c r="E32" i="5"/>
  <c r="E87" i="5"/>
  <c r="E21" i="5"/>
  <c r="E44" i="5"/>
  <c r="E93" i="5"/>
  <c r="E52" i="5"/>
  <c r="E9" i="5"/>
  <c r="E47" i="5"/>
  <c r="E112" i="5"/>
  <c r="E42" i="5"/>
  <c r="E12" i="5"/>
  <c r="E62" i="5"/>
  <c r="E8" i="5"/>
  <c r="E113" i="5"/>
  <c r="E76" i="5"/>
  <c r="E103" i="5"/>
  <c r="E54" i="5"/>
  <c r="E102" i="5"/>
  <c r="B11" i="5"/>
  <c r="B193" i="5"/>
  <c r="B192" i="5"/>
  <c r="B119" i="5"/>
  <c r="B128" i="5"/>
  <c r="B135" i="5"/>
  <c r="B191" i="5"/>
  <c r="B134" i="5"/>
  <c r="B190" i="5"/>
  <c r="B10" i="5"/>
  <c r="B189" i="5"/>
  <c r="B188" i="5"/>
  <c r="B21" i="5"/>
  <c r="B187" i="5"/>
  <c r="B51" i="5"/>
  <c r="B186" i="5"/>
  <c r="B61" i="5"/>
  <c r="B81" i="5"/>
  <c r="B50" i="5"/>
  <c r="B133" i="5"/>
  <c r="B185" i="5"/>
  <c r="B124" i="5"/>
  <c r="B110" i="5"/>
  <c r="B9" i="5"/>
  <c r="B80" i="5"/>
  <c r="B184" i="5"/>
  <c r="B60" i="5"/>
  <c r="B101" i="5"/>
  <c r="B183" i="5"/>
  <c r="B109" i="5"/>
  <c r="B108" i="5"/>
  <c r="B31" i="5"/>
  <c r="B117" i="5"/>
  <c r="B49" i="5"/>
  <c r="B182" i="5"/>
  <c r="B181" i="5"/>
  <c r="B20" i="5"/>
  <c r="B19" i="5"/>
  <c r="B30" i="5"/>
  <c r="B180" i="5"/>
  <c r="B179" i="5"/>
  <c r="B178" i="5"/>
  <c r="B71" i="5"/>
  <c r="B41" i="5"/>
  <c r="B100" i="5"/>
  <c r="B59" i="5"/>
  <c r="B177" i="5"/>
  <c r="B8" i="5"/>
  <c r="B132" i="5"/>
  <c r="B176" i="5"/>
  <c r="B79" i="5"/>
  <c r="B91" i="5"/>
  <c r="B7" i="5"/>
  <c r="B78" i="5"/>
  <c r="B175" i="5"/>
  <c r="B127" i="5"/>
  <c r="B40" i="5"/>
  <c r="B174" i="5"/>
  <c r="B173" i="5"/>
  <c r="B172" i="5"/>
  <c r="B48" i="5"/>
  <c r="B126" i="5"/>
  <c r="B107" i="5"/>
  <c r="B116" i="5"/>
  <c r="B39" i="5"/>
  <c r="B18" i="5"/>
  <c r="B171" i="5"/>
  <c r="B170" i="5"/>
  <c r="B6" i="5"/>
  <c r="B169" i="5"/>
  <c r="B106" i="5"/>
  <c r="B168" i="5"/>
  <c r="B115" i="5"/>
  <c r="B114" i="5"/>
  <c r="B38" i="5"/>
  <c r="B77" i="5"/>
  <c r="B167" i="5"/>
  <c r="B113" i="5"/>
  <c r="B70" i="5"/>
  <c r="B37" i="5"/>
  <c r="B166" i="5"/>
  <c r="B69" i="5"/>
  <c r="B5" i="5"/>
  <c r="B58" i="5"/>
  <c r="B165" i="5"/>
  <c r="B125" i="5"/>
  <c r="B47" i="5"/>
  <c r="B29" i="5"/>
  <c r="B99" i="5"/>
  <c r="B98" i="5"/>
  <c r="B164" i="5"/>
  <c r="B163" i="5"/>
  <c r="B105" i="5"/>
  <c r="B76" i="5"/>
  <c r="B97" i="5"/>
  <c r="B162" i="5"/>
  <c r="B161" i="5"/>
  <c r="B160" i="5"/>
  <c r="B36" i="5"/>
  <c r="B131" i="5"/>
  <c r="B57" i="5"/>
  <c r="B4" i="5"/>
  <c r="B56" i="5"/>
  <c r="B159" i="5"/>
  <c r="B90" i="5"/>
  <c r="B112" i="5"/>
  <c r="B158" i="5"/>
  <c r="B157" i="5"/>
  <c r="B96" i="5"/>
  <c r="B46" i="5"/>
  <c r="B156" i="5"/>
  <c r="B95" i="5"/>
  <c r="B94" i="5"/>
  <c r="B35" i="5"/>
  <c r="B155" i="5"/>
  <c r="B34" i="5"/>
  <c r="B55" i="5"/>
  <c r="B68" i="5"/>
  <c r="B3" i="5"/>
  <c r="B67" i="5"/>
  <c r="B28" i="5"/>
  <c r="B27" i="5"/>
  <c r="B154" i="5"/>
  <c r="B45" i="5"/>
  <c r="B104" i="5"/>
  <c r="B123" i="5"/>
  <c r="B103" i="5"/>
  <c r="B17" i="5"/>
  <c r="B33" i="5"/>
  <c r="B122" i="5"/>
  <c r="B121" i="5"/>
  <c r="B153" i="5"/>
  <c r="B26" i="5"/>
  <c r="B152" i="5"/>
  <c r="B75" i="5"/>
  <c r="B151" i="5"/>
  <c r="B89" i="5"/>
  <c r="B74" i="5"/>
  <c r="B54" i="5"/>
  <c r="B150" i="5"/>
  <c r="B149" i="5"/>
  <c r="B44" i="5"/>
  <c r="B148" i="5"/>
  <c r="B147" i="5"/>
  <c r="B25" i="5"/>
  <c r="B146" i="5"/>
  <c r="B24" i="5"/>
  <c r="B32" i="5"/>
  <c r="B66" i="5"/>
  <c r="B145" i="5"/>
  <c r="B93" i="5"/>
  <c r="B144" i="5"/>
  <c r="B53" i="5"/>
  <c r="B88" i="5"/>
  <c r="B120" i="5"/>
  <c r="B65" i="5"/>
  <c r="B52" i="5"/>
  <c r="B143" i="5"/>
  <c r="B87" i="5"/>
  <c r="B64" i="5"/>
  <c r="B23" i="5"/>
  <c r="B86" i="5"/>
  <c r="B16" i="5"/>
  <c r="B15" i="5"/>
  <c r="B130" i="5"/>
  <c r="B14" i="5"/>
  <c r="B85" i="5"/>
  <c r="B43" i="5"/>
  <c r="B63" i="5"/>
  <c r="B142" i="5"/>
  <c r="B73" i="5"/>
  <c r="B42" i="5"/>
  <c r="B141" i="5"/>
  <c r="B140" i="5"/>
  <c r="B13" i="5"/>
  <c r="B2" i="5"/>
  <c r="B84" i="5"/>
  <c r="B139" i="5"/>
  <c r="B12" i="5"/>
  <c r="B102" i="5"/>
  <c r="B129" i="5"/>
  <c r="B62" i="5"/>
  <c r="B111" i="5"/>
  <c r="B138" i="5"/>
  <c r="B92" i="5"/>
  <c r="B83" i="5"/>
  <c r="B72" i="5"/>
  <c r="B137" i="5"/>
  <c r="B82" i="5"/>
  <c r="B136" i="5"/>
  <c r="B22" i="5"/>
  <c r="Y106" i="5"/>
  <c r="X106" i="5"/>
  <c r="W106" i="5"/>
  <c r="Y109" i="5"/>
  <c r="W109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36" i="5"/>
  <c r="E166" i="5"/>
  <c r="E145" i="5"/>
  <c r="E138" i="5"/>
  <c r="E146" i="5"/>
  <c r="E144" i="5"/>
  <c r="E163" i="5"/>
  <c r="E160" i="5"/>
  <c r="E152" i="5"/>
  <c r="E149" i="5"/>
  <c r="E137" i="5"/>
  <c r="E139" i="5"/>
  <c r="E140" i="5"/>
  <c r="E171" i="5"/>
  <c r="E168" i="5"/>
  <c r="E153" i="5"/>
  <c r="E165" i="5"/>
  <c r="E154" i="5"/>
  <c r="E142" i="5"/>
  <c r="E115" i="5"/>
  <c r="E170" i="5"/>
  <c r="E116" i="5"/>
  <c r="E63" i="5"/>
  <c r="E128" i="5"/>
  <c r="E81" i="5"/>
  <c r="E110" i="5"/>
  <c r="E60" i="5"/>
  <c r="E91" i="5"/>
  <c r="E162" i="5"/>
  <c r="E120" i="5"/>
  <c r="E86" i="5"/>
  <c r="E83" i="5"/>
  <c r="E101" i="5"/>
  <c r="E28" i="5"/>
  <c r="E122" i="5"/>
  <c r="E121" i="5"/>
  <c r="E119" i="5"/>
  <c r="E59" i="5"/>
  <c r="E114" i="5"/>
  <c r="E105" i="5"/>
  <c r="E55" i="5"/>
  <c r="E123" i="5"/>
  <c r="E65" i="5"/>
  <c r="E73" i="5"/>
  <c r="E80" i="5"/>
  <c r="E79" i="5"/>
  <c r="E127" i="5"/>
  <c r="E40" i="5"/>
  <c r="E99" i="5"/>
  <c r="E89" i="5"/>
  <c r="E72" i="5"/>
  <c r="E61" i="5"/>
  <c r="E6" i="5"/>
  <c r="E70" i="5"/>
  <c r="E37" i="5"/>
  <c r="E29" i="5"/>
  <c r="E34" i="5"/>
  <c r="E45" i="5"/>
  <c r="E53" i="5"/>
  <c r="E13" i="5"/>
  <c r="E51" i="5"/>
  <c r="E31" i="5"/>
  <c r="E71" i="5"/>
  <c r="E39" i="5"/>
  <c r="E97" i="5"/>
  <c r="E49" i="5"/>
  <c r="E131" i="5"/>
  <c r="E17" i="5"/>
  <c r="E22" i="5"/>
  <c r="E20" i="5"/>
  <c r="E30" i="5"/>
  <c r="E7" i="5"/>
  <c r="E18" i="5"/>
  <c r="E58" i="5"/>
  <c r="E36" i="5"/>
  <c r="E3" i="5"/>
  <c r="E14" i="5"/>
  <c r="E11" i="5"/>
  <c r="E10" i="5"/>
  <c r="E19" i="5"/>
  <c r="E57" i="5"/>
  <c r="E25" i="5"/>
  <c r="E24" i="5"/>
  <c r="E23" i="5"/>
  <c r="E16" i="5"/>
  <c r="Z118" i="5" l="1"/>
  <c r="AB118" i="5" s="1"/>
  <c r="E109" i="5"/>
  <c r="Z106" i="5"/>
  <c r="AB106" i="5" s="1"/>
  <c r="Z109" i="5"/>
  <c r="AB109" i="5" s="1"/>
  <c r="D194" i="28"/>
  <c r="C194" i="28"/>
  <c r="B194" i="28"/>
  <c r="A194" i="28"/>
  <c r="D193" i="28"/>
  <c r="C193" i="28"/>
  <c r="B193" i="28"/>
  <c r="A193" i="28"/>
  <c r="D192" i="28"/>
  <c r="C192" i="28"/>
  <c r="B192" i="28"/>
  <c r="A192" i="28"/>
  <c r="D191" i="28"/>
  <c r="C191" i="28"/>
  <c r="B191" i="28"/>
  <c r="A191" i="28"/>
  <c r="D190" i="28"/>
  <c r="C190" i="28"/>
  <c r="B190" i="28"/>
  <c r="A190" i="28"/>
  <c r="D189" i="28"/>
  <c r="C189" i="28"/>
  <c r="B189" i="28"/>
  <c r="A189" i="28"/>
  <c r="D188" i="28"/>
  <c r="C188" i="28"/>
  <c r="B188" i="28"/>
  <c r="A188" i="28"/>
  <c r="D187" i="28"/>
  <c r="C187" i="28"/>
  <c r="B187" i="28"/>
  <c r="A187" i="28"/>
  <c r="D186" i="28"/>
  <c r="C186" i="28"/>
  <c r="B186" i="28"/>
  <c r="A186" i="28"/>
  <c r="D185" i="28"/>
  <c r="C185" i="28"/>
  <c r="B185" i="28"/>
  <c r="A185" i="28"/>
  <c r="D184" i="28"/>
  <c r="C184" i="28"/>
  <c r="B184" i="28"/>
  <c r="A184" i="28"/>
  <c r="D183" i="28"/>
  <c r="C183" i="28"/>
  <c r="B183" i="28"/>
  <c r="A183" i="28"/>
  <c r="D182" i="28"/>
  <c r="C182" i="28"/>
  <c r="B182" i="28"/>
  <c r="A182" i="28"/>
  <c r="D181" i="28"/>
  <c r="C181" i="28"/>
  <c r="B181" i="28"/>
  <c r="A181" i="28"/>
  <c r="D180" i="28"/>
  <c r="C180" i="28"/>
  <c r="B180" i="28"/>
  <c r="A180" i="28"/>
  <c r="D179" i="28"/>
  <c r="C179" i="28"/>
  <c r="B179" i="28"/>
  <c r="A179" i="28"/>
  <c r="D178" i="28"/>
  <c r="C178" i="28"/>
  <c r="B178" i="28"/>
  <c r="A178" i="28"/>
  <c r="D177" i="28"/>
  <c r="C177" i="28"/>
  <c r="B177" i="28"/>
  <c r="A177" i="28"/>
  <c r="D176" i="28"/>
  <c r="C176" i="28"/>
  <c r="B176" i="28"/>
  <c r="A176" i="28"/>
  <c r="D175" i="28"/>
  <c r="C175" i="28"/>
  <c r="B175" i="28"/>
  <c r="A175" i="28"/>
  <c r="D174" i="28"/>
  <c r="C174" i="28"/>
  <c r="B174" i="28"/>
  <c r="A174" i="28"/>
  <c r="D173" i="28"/>
  <c r="C173" i="28"/>
  <c r="B173" i="28"/>
  <c r="A173" i="28"/>
  <c r="D172" i="28"/>
  <c r="C172" i="28"/>
  <c r="B172" i="28"/>
  <c r="A172" i="28"/>
  <c r="D171" i="28"/>
  <c r="C171" i="28"/>
  <c r="B171" i="28"/>
  <c r="A171" i="28"/>
  <c r="D170" i="28"/>
  <c r="C170" i="28"/>
  <c r="B170" i="28"/>
  <c r="A170" i="28"/>
  <c r="D169" i="28"/>
  <c r="C169" i="28"/>
  <c r="B169" i="28"/>
  <c r="A169" i="28"/>
  <c r="D168" i="28"/>
  <c r="C168" i="28"/>
  <c r="B168" i="28"/>
  <c r="A168" i="28"/>
  <c r="D167" i="28"/>
  <c r="C167" i="28"/>
  <c r="B167" i="28"/>
  <c r="A167" i="28"/>
  <c r="D166" i="28"/>
  <c r="C166" i="28"/>
  <c r="B166" i="28"/>
  <c r="A166" i="28"/>
  <c r="D165" i="28"/>
  <c r="C165" i="28"/>
  <c r="B165" i="28"/>
  <c r="A165" i="28"/>
  <c r="D164" i="28"/>
  <c r="C164" i="28"/>
  <c r="B164" i="28"/>
  <c r="A164" i="28"/>
  <c r="D163" i="28"/>
  <c r="C163" i="28"/>
  <c r="B163" i="28"/>
  <c r="A163" i="28"/>
  <c r="D162" i="28"/>
  <c r="C162" i="28"/>
  <c r="B162" i="28"/>
  <c r="A162" i="28"/>
  <c r="D161" i="28"/>
  <c r="C161" i="28"/>
  <c r="B161" i="28"/>
  <c r="A161" i="28"/>
  <c r="D160" i="28"/>
  <c r="C160" i="28"/>
  <c r="B160" i="28"/>
  <c r="A160" i="28"/>
  <c r="D159" i="28"/>
  <c r="C159" i="28"/>
  <c r="B159" i="28"/>
  <c r="A159" i="28"/>
  <c r="D158" i="28"/>
  <c r="C158" i="28"/>
  <c r="B158" i="28"/>
  <c r="A158" i="28"/>
  <c r="D157" i="28"/>
  <c r="C157" i="28"/>
  <c r="B157" i="28"/>
  <c r="A157" i="28"/>
  <c r="D156" i="28"/>
  <c r="C156" i="28"/>
  <c r="B156" i="28"/>
  <c r="A156" i="28"/>
  <c r="D155" i="28"/>
  <c r="C155" i="28"/>
  <c r="B155" i="28"/>
  <c r="A155" i="28"/>
  <c r="D154" i="28"/>
  <c r="C154" i="28"/>
  <c r="B154" i="28"/>
  <c r="A154" i="28"/>
  <c r="D153" i="28"/>
  <c r="C153" i="28"/>
  <c r="B153" i="28"/>
  <c r="A153" i="28"/>
  <c r="D152" i="28"/>
  <c r="C152" i="28"/>
  <c r="B152" i="28"/>
  <c r="A152" i="28"/>
  <c r="D151" i="28"/>
  <c r="C151" i="28"/>
  <c r="B151" i="28"/>
  <c r="A151" i="28"/>
  <c r="D150" i="28"/>
  <c r="C150" i="28"/>
  <c r="B150" i="28"/>
  <c r="A150" i="28"/>
  <c r="D149" i="28"/>
  <c r="C149" i="28"/>
  <c r="B149" i="28"/>
  <c r="A149" i="28"/>
  <c r="D148" i="28"/>
  <c r="C148" i="28"/>
  <c r="B148" i="28"/>
  <c r="A148" i="28"/>
  <c r="D147" i="28"/>
  <c r="C147" i="28"/>
  <c r="B147" i="28"/>
  <c r="A147" i="28"/>
  <c r="D146" i="28"/>
  <c r="C146" i="28"/>
  <c r="B146" i="28"/>
  <c r="A146" i="28"/>
  <c r="D145" i="28"/>
  <c r="C145" i="28"/>
  <c r="B145" i="28"/>
  <c r="A145" i="28"/>
  <c r="D144" i="28"/>
  <c r="C144" i="28"/>
  <c r="B144" i="28"/>
  <c r="A144" i="28"/>
  <c r="D143" i="28"/>
  <c r="C143" i="28"/>
  <c r="B143" i="28"/>
  <c r="A143" i="28"/>
  <c r="D142" i="28"/>
  <c r="C142" i="28"/>
  <c r="B142" i="28"/>
  <c r="A142" i="28"/>
  <c r="D141" i="28"/>
  <c r="C141" i="28"/>
  <c r="B141" i="28"/>
  <c r="A141" i="28"/>
  <c r="D140" i="28"/>
  <c r="C140" i="28"/>
  <c r="B140" i="28"/>
  <c r="A140" i="28"/>
  <c r="D139" i="28"/>
  <c r="C139" i="28"/>
  <c r="B139" i="28"/>
  <c r="A139" i="28"/>
  <c r="D138" i="28"/>
  <c r="C138" i="28"/>
  <c r="B138" i="28"/>
  <c r="A138" i="28"/>
  <c r="D137" i="28"/>
  <c r="C137" i="28"/>
  <c r="B137" i="28"/>
  <c r="A137" i="28"/>
  <c r="D136" i="28"/>
  <c r="C136" i="28"/>
  <c r="B136" i="28"/>
  <c r="A136" i="28"/>
  <c r="D135" i="28"/>
  <c r="C135" i="28"/>
  <c r="B135" i="28"/>
  <c r="A135" i="28"/>
  <c r="D134" i="28"/>
  <c r="C134" i="28"/>
  <c r="B134" i="28"/>
  <c r="A134" i="28"/>
  <c r="D133" i="28"/>
  <c r="C133" i="28"/>
  <c r="B133" i="28"/>
  <c r="A133" i="28"/>
  <c r="D132" i="28"/>
  <c r="C132" i="28"/>
  <c r="B132" i="28"/>
  <c r="A132" i="28"/>
  <c r="D131" i="28"/>
  <c r="C131" i="28"/>
  <c r="B131" i="28"/>
  <c r="A131" i="28"/>
  <c r="D130" i="28"/>
  <c r="C130" i="28"/>
  <c r="B130" i="28"/>
  <c r="A130" i="28"/>
  <c r="D129" i="28"/>
  <c r="C129" i="28"/>
  <c r="B129" i="28"/>
  <c r="A129" i="28"/>
  <c r="D128" i="28"/>
  <c r="C128" i="28"/>
  <c r="B128" i="28"/>
  <c r="A128" i="28"/>
  <c r="D127" i="28"/>
  <c r="C127" i="28"/>
  <c r="B127" i="28"/>
  <c r="A127" i="28"/>
  <c r="D126" i="28"/>
  <c r="C126" i="28"/>
  <c r="B126" i="28"/>
  <c r="A126" i="28"/>
  <c r="D125" i="28"/>
  <c r="C125" i="28"/>
  <c r="B125" i="28"/>
  <c r="A125" i="28"/>
  <c r="D124" i="28"/>
  <c r="C124" i="28"/>
  <c r="B124" i="28"/>
  <c r="A124" i="28"/>
  <c r="D123" i="28"/>
  <c r="C123" i="28"/>
  <c r="B123" i="28"/>
  <c r="A123" i="28"/>
  <c r="D122" i="28"/>
  <c r="C122" i="28"/>
  <c r="B122" i="28"/>
  <c r="A122" i="28"/>
  <c r="D121" i="28"/>
  <c r="C121" i="28"/>
  <c r="B121" i="28"/>
  <c r="A121" i="28"/>
  <c r="D120" i="28"/>
  <c r="C120" i="28"/>
  <c r="B120" i="28"/>
  <c r="A120" i="28"/>
  <c r="D119" i="28"/>
  <c r="C119" i="28"/>
  <c r="B119" i="28"/>
  <c r="A119" i="28"/>
  <c r="D118" i="28"/>
  <c r="C118" i="28"/>
  <c r="B118" i="28"/>
  <c r="A118" i="28"/>
  <c r="D117" i="28"/>
  <c r="C117" i="28"/>
  <c r="B117" i="28"/>
  <c r="A117" i="28"/>
  <c r="D116" i="28"/>
  <c r="C116" i="28"/>
  <c r="B116" i="28"/>
  <c r="A116" i="28"/>
  <c r="D115" i="28"/>
  <c r="C115" i="28"/>
  <c r="B115" i="28"/>
  <c r="A115" i="28"/>
  <c r="D114" i="28"/>
  <c r="C114" i="28"/>
  <c r="B114" i="28"/>
  <c r="A114" i="28"/>
  <c r="D113" i="28"/>
  <c r="C113" i="28"/>
  <c r="B113" i="28"/>
  <c r="A113" i="28"/>
  <c r="D112" i="28"/>
  <c r="C112" i="28"/>
  <c r="B112" i="28"/>
  <c r="A112" i="28"/>
  <c r="D111" i="28"/>
  <c r="C111" i="28"/>
  <c r="B111" i="28"/>
  <c r="A111" i="28"/>
  <c r="D110" i="28"/>
  <c r="C110" i="28"/>
  <c r="B110" i="28"/>
  <c r="A110" i="28"/>
  <c r="D109" i="28"/>
  <c r="C109" i="28"/>
  <c r="B109" i="28"/>
  <c r="A109" i="28"/>
  <c r="D108" i="28"/>
  <c r="C108" i="28"/>
  <c r="B108" i="28"/>
  <c r="A108" i="28"/>
  <c r="D107" i="28"/>
  <c r="C107" i="28"/>
  <c r="B107" i="28"/>
  <c r="A107" i="28"/>
  <c r="D106" i="28"/>
  <c r="C106" i="28"/>
  <c r="B106" i="28"/>
  <c r="A106" i="28"/>
  <c r="D105" i="28"/>
  <c r="C105" i="28"/>
  <c r="B105" i="28"/>
  <c r="A105" i="28"/>
  <c r="D104" i="28"/>
  <c r="C104" i="28"/>
  <c r="B104" i="28"/>
  <c r="A104" i="28"/>
  <c r="D103" i="28"/>
  <c r="C103" i="28"/>
  <c r="B103" i="28"/>
  <c r="A103" i="28"/>
  <c r="D102" i="28"/>
  <c r="C102" i="28"/>
  <c r="B102" i="28"/>
  <c r="A102" i="28"/>
  <c r="D101" i="28"/>
  <c r="C101" i="28"/>
  <c r="B101" i="28"/>
  <c r="A101" i="28"/>
  <c r="D100" i="28"/>
  <c r="C100" i="28"/>
  <c r="B100" i="28"/>
  <c r="A100" i="28"/>
  <c r="D99" i="28"/>
  <c r="C99" i="28"/>
  <c r="B99" i="28"/>
  <c r="A99" i="28"/>
  <c r="D98" i="28"/>
  <c r="C98" i="28"/>
  <c r="B98" i="28"/>
  <c r="A98" i="28"/>
  <c r="D97" i="28"/>
  <c r="C97" i="28"/>
  <c r="B97" i="28"/>
  <c r="A97" i="28"/>
  <c r="D96" i="28"/>
  <c r="C96" i="28"/>
  <c r="B96" i="28"/>
  <c r="A96" i="28"/>
  <c r="D95" i="28"/>
  <c r="C95" i="28"/>
  <c r="B95" i="28"/>
  <c r="A95" i="28"/>
  <c r="D94" i="28"/>
  <c r="C94" i="28"/>
  <c r="B94" i="28"/>
  <c r="A94" i="28"/>
  <c r="D93" i="28"/>
  <c r="C93" i="28"/>
  <c r="B93" i="28"/>
  <c r="A93" i="28"/>
  <c r="D92" i="28"/>
  <c r="C92" i="28"/>
  <c r="B92" i="28"/>
  <c r="A92" i="28"/>
  <c r="D91" i="28"/>
  <c r="C91" i="28"/>
  <c r="B91" i="28"/>
  <c r="A91" i="28"/>
  <c r="D90" i="28"/>
  <c r="C90" i="28"/>
  <c r="B90" i="28"/>
  <c r="A90" i="28"/>
  <c r="D89" i="28"/>
  <c r="C89" i="28"/>
  <c r="B89" i="28"/>
  <c r="A89" i="28"/>
  <c r="D88" i="28"/>
  <c r="C88" i="28"/>
  <c r="B88" i="28"/>
  <c r="A88" i="28"/>
  <c r="D87" i="28"/>
  <c r="C87" i="28"/>
  <c r="B87" i="28"/>
  <c r="A87" i="28"/>
  <c r="D86" i="28"/>
  <c r="C86" i="28"/>
  <c r="B86" i="28"/>
  <c r="A86" i="28"/>
  <c r="D85" i="28"/>
  <c r="C85" i="28"/>
  <c r="B85" i="28"/>
  <c r="A85" i="28"/>
  <c r="D84" i="28"/>
  <c r="C84" i="28"/>
  <c r="B84" i="28"/>
  <c r="A84" i="28"/>
  <c r="D83" i="28"/>
  <c r="C83" i="28"/>
  <c r="B83" i="28"/>
  <c r="A83" i="28"/>
  <c r="D82" i="28"/>
  <c r="C82" i="28"/>
  <c r="B82" i="28"/>
  <c r="A82" i="28"/>
  <c r="D81" i="28"/>
  <c r="C81" i="28"/>
  <c r="B81" i="28"/>
  <c r="A81" i="28"/>
  <c r="D80" i="28"/>
  <c r="C80" i="28"/>
  <c r="B80" i="28"/>
  <c r="A80" i="28"/>
  <c r="D79" i="28"/>
  <c r="C79" i="28"/>
  <c r="B79" i="28"/>
  <c r="A79" i="28"/>
  <c r="D78" i="28"/>
  <c r="C78" i="28"/>
  <c r="B78" i="28"/>
  <c r="A78" i="28"/>
  <c r="D77" i="28"/>
  <c r="C77" i="28"/>
  <c r="B77" i="28"/>
  <c r="A77" i="28"/>
  <c r="D76" i="28"/>
  <c r="C76" i="28"/>
  <c r="B76" i="28"/>
  <c r="A76" i="28"/>
  <c r="D75" i="28"/>
  <c r="C75" i="28"/>
  <c r="B75" i="28"/>
  <c r="A75" i="28"/>
  <c r="D74" i="28"/>
  <c r="C74" i="28"/>
  <c r="B74" i="28"/>
  <c r="A74" i="28"/>
  <c r="D73" i="28"/>
  <c r="C73" i="28"/>
  <c r="B73" i="28"/>
  <c r="A73" i="28"/>
  <c r="D72" i="28"/>
  <c r="C72" i="28"/>
  <c r="B72" i="28"/>
  <c r="A72" i="28"/>
  <c r="D71" i="28"/>
  <c r="C71" i="28"/>
  <c r="B71" i="28"/>
  <c r="A71" i="28"/>
  <c r="D70" i="28"/>
  <c r="C70" i="28"/>
  <c r="B70" i="28"/>
  <c r="A70" i="28"/>
  <c r="D69" i="28"/>
  <c r="C69" i="28"/>
  <c r="B69" i="28"/>
  <c r="A69" i="28"/>
  <c r="D68" i="28"/>
  <c r="C68" i="28"/>
  <c r="B68" i="28"/>
  <c r="A68" i="28"/>
  <c r="D67" i="28"/>
  <c r="C67" i="28"/>
  <c r="B67" i="28"/>
  <c r="A67" i="28"/>
  <c r="D66" i="28"/>
  <c r="C66" i="28"/>
  <c r="B66" i="28"/>
  <c r="A66" i="28"/>
  <c r="D65" i="28"/>
  <c r="C65" i="28"/>
  <c r="B65" i="28"/>
  <c r="A65" i="28"/>
  <c r="D64" i="28"/>
  <c r="C64" i="28"/>
  <c r="B64" i="28"/>
  <c r="A64" i="28"/>
  <c r="D63" i="28"/>
  <c r="C63" i="28"/>
  <c r="B63" i="28"/>
  <c r="A63" i="28"/>
  <c r="D62" i="28"/>
  <c r="C62" i="28"/>
  <c r="B62" i="28"/>
  <c r="A62" i="28"/>
  <c r="D61" i="28"/>
  <c r="C61" i="28"/>
  <c r="B61" i="28"/>
  <c r="A61" i="28"/>
  <c r="D60" i="28"/>
  <c r="C60" i="28"/>
  <c r="B60" i="28"/>
  <c r="A60" i="28"/>
  <c r="D59" i="28"/>
  <c r="C59" i="28"/>
  <c r="B59" i="28"/>
  <c r="A59" i="28"/>
  <c r="D58" i="28"/>
  <c r="C58" i="28"/>
  <c r="B58" i="28"/>
  <c r="A58" i="28"/>
  <c r="D57" i="28"/>
  <c r="C57" i="28"/>
  <c r="B57" i="28"/>
  <c r="A57" i="28"/>
  <c r="D56" i="28"/>
  <c r="C56" i="28"/>
  <c r="B56" i="28"/>
  <c r="A56" i="28"/>
  <c r="D55" i="28"/>
  <c r="C55" i="28"/>
  <c r="B55" i="28"/>
  <c r="A55" i="28"/>
  <c r="D54" i="28"/>
  <c r="C54" i="28"/>
  <c r="B54" i="28"/>
  <c r="A54" i="28"/>
  <c r="D53" i="28"/>
  <c r="C53" i="28"/>
  <c r="B53" i="28"/>
  <c r="A53" i="28"/>
  <c r="D52" i="28"/>
  <c r="C52" i="28"/>
  <c r="B52" i="28"/>
  <c r="A52" i="28"/>
  <c r="D51" i="28"/>
  <c r="C51" i="28"/>
  <c r="B51" i="28"/>
  <c r="A51" i="28"/>
  <c r="D50" i="28"/>
  <c r="C50" i="28"/>
  <c r="B50" i="28"/>
  <c r="A50" i="28"/>
  <c r="D49" i="28"/>
  <c r="C49" i="28"/>
  <c r="B49" i="28"/>
  <c r="A49" i="28"/>
  <c r="D48" i="28"/>
  <c r="C48" i="28"/>
  <c r="B48" i="28"/>
  <c r="A48" i="28"/>
  <c r="D47" i="28"/>
  <c r="C47" i="28"/>
  <c r="B47" i="28"/>
  <c r="A47" i="28"/>
  <c r="D46" i="28"/>
  <c r="C46" i="28"/>
  <c r="B46" i="28"/>
  <c r="A46" i="28"/>
  <c r="D45" i="28"/>
  <c r="C45" i="28"/>
  <c r="B45" i="28"/>
  <c r="A45" i="28"/>
  <c r="D44" i="28"/>
  <c r="C44" i="28"/>
  <c r="B44" i="28"/>
  <c r="A44" i="28"/>
  <c r="D43" i="28"/>
  <c r="C43" i="28"/>
  <c r="B43" i="28"/>
  <c r="A43" i="28"/>
  <c r="D42" i="28"/>
  <c r="C42" i="28"/>
  <c r="B42" i="28"/>
  <c r="A42" i="28"/>
  <c r="D41" i="28"/>
  <c r="C41" i="28"/>
  <c r="B41" i="28"/>
  <c r="A41" i="28"/>
  <c r="D40" i="28"/>
  <c r="C40" i="28"/>
  <c r="B40" i="28"/>
  <c r="A40" i="28"/>
  <c r="D39" i="28"/>
  <c r="C39" i="28"/>
  <c r="B39" i="28"/>
  <c r="A39" i="28"/>
  <c r="D38" i="28"/>
  <c r="C38" i="28"/>
  <c r="B38" i="28"/>
  <c r="A38" i="28"/>
  <c r="D37" i="28"/>
  <c r="C37" i="28"/>
  <c r="B37" i="28"/>
  <c r="A37" i="28"/>
  <c r="D36" i="28"/>
  <c r="C36" i="28"/>
  <c r="B36" i="28"/>
  <c r="A36" i="28"/>
  <c r="D35" i="28"/>
  <c r="C35" i="28"/>
  <c r="B35" i="28"/>
  <c r="A35" i="28"/>
  <c r="D34" i="28"/>
  <c r="C34" i="28"/>
  <c r="B34" i="28"/>
  <c r="A34" i="28"/>
  <c r="D33" i="28"/>
  <c r="C33" i="28"/>
  <c r="B33" i="28"/>
  <c r="A33" i="28"/>
  <c r="D32" i="28"/>
  <c r="C32" i="28"/>
  <c r="B32" i="28"/>
  <c r="A32" i="28"/>
  <c r="D31" i="28"/>
  <c r="C31" i="28"/>
  <c r="B31" i="28"/>
  <c r="A31" i="28"/>
  <c r="D30" i="28"/>
  <c r="C30" i="28"/>
  <c r="B30" i="28"/>
  <c r="A30" i="28"/>
  <c r="D29" i="28"/>
  <c r="C29" i="28"/>
  <c r="B29" i="28"/>
  <c r="A29" i="28"/>
  <c r="D28" i="28"/>
  <c r="C28" i="28"/>
  <c r="B28" i="28"/>
  <c r="A28" i="28"/>
  <c r="D27" i="28"/>
  <c r="C27" i="28"/>
  <c r="B27" i="28"/>
  <c r="A27" i="28"/>
  <c r="D26" i="28"/>
  <c r="C26" i="28"/>
  <c r="B26" i="28"/>
  <c r="A26" i="28"/>
  <c r="D25" i="28"/>
  <c r="C25" i="28"/>
  <c r="B25" i="28"/>
  <c r="A25" i="28"/>
  <c r="D24" i="28"/>
  <c r="C24" i="28"/>
  <c r="B24" i="28"/>
  <c r="A24" i="28"/>
  <c r="D23" i="28"/>
  <c r="C23" i="28"/>
  <c r="B23" i="28"/>
  <c r="A23" i="28"/>
  <c r="D22" i="28"/>
  <c r="C22" i="28"/>
  <c r="B22" i="28"/>
  <c r="A22" i="28"/>
  <c r="D21" i="28"/>
  <c r="C21" i="28"/>
  <c r="B21" i="28"/>
  <c r="A21" i="28"/>
  <c r="D20" i="28"/>
  <c r="C20" i="28"/>
  <c r="B20" i="28"/>
  <c r="A20" i="28"/>
  <c r="D19" i="28"/>
  <c r="C19" i="28"/>
  <c r="B19" i="28"/>
  <c r="A19" i="28"/>
  <c r="D18" i="28"/>
  <c r="C18" i="28"/>
  <c r="B18" i="28"/>
  <c r="A18" i="28"/>
  <c r="D17" i="28"/>
  <c r="C17" i="28"/>
  <c r="B17" i="28"/>
  <c r="A17" i="28"/>
  <c r="D16" i="28"/>
  <c r="C16" i="28"/>
  <c r="B16" i="28"/>
  <c r="A16" i="28"/>
  <c r="D15" i="28"/>
  <c r="C15" i="28"/>
  <c r="B15" i="28"/>
  <c r="A15" i="28"/>
  <c r="D14" i="28"/>
  <c r="C14" i="28"/>
  <c r="B14" i="28"/>
  <c r="A14" i="28"/>
  <c r="D13" i="28"/>
  <c r="C13" i="28"/>
  <c r="B13" i="28"/>
  <c r="A13" i="28"/>
  <c r="D12" i="28"/>
  <c r="C12" i="28"/>
  <c r="B12" i="28"/>
  <c r="A12" i="28"/>
  <c r="D11" i="28"/>
  <c r="C11" i="28"/>
  <c r="B11" i="28"/>
  <c r="A11" i="28"/>
  <c r="D10" i="28"/>
  <c r="C10" i="28"/>
  <c r="B10" i="28"/>
  <c r="A10" i="28"/>
  <c r="D9" i="28"/>
  <c r="C9" i="28"/>
  <c r="B9" i="28"/>
  <c r="A9" i="28"/>
  <c r="D8" i="28"/>
  <c r="C8" i="28"/>
  <c r="B8" i="28"/>
  <c r="A8" i="28"/>
  <c r="D7" i="28"/>
  <c r="C7" i="28"/>
  <c r="B7" i="28"/>
  <c r="A7" i="28"/>
  <c r="E9" i="28" l="1"/>
  <c r="E10" i="28"/>
  <c r="E13" i="28"/>
  <c r="E14" i="28"/>
  <c r="E15" i="28"/>
  <c r="E17" i="28"/>
  <c r="E18" i="28"/>
  <c r="E19" i="28"/>
  <c r="E20" i="28"/>
  <c r="E21" i="28"/>
  <c r="E25" i="28"/>
  <c r="E26" i="28"/>
  <c r="E29" i="28"/>
  <c r="E30" i="28"/>
  <c r="E31" i="28"/>
  <c r="E33" i="28"/>
  <c r="E34" i="28"/>
  <c r="E36" i="28"/>
  <c r="E37" i="28"/>
  <c r="E41" i="28"/>
  <c r="E42" i="28"/>
  <c r="E45" i="28"/>
  <c r="E46" i="28"/>
  <c r="E47" i="28"/>
  <c r="E49" i="28"/>
  <c r="E50" i="28"/>
  <c r="E51" i="28"/>
  <c r="E52" i="28"/>
  <c r="E53" i="28"/>
  <c r="E57" i="28"/>
  <c r="E58" i="28"/>
  <c r="E61" i="28"/>
  <c r="E62" i="28"/>
  <c r="E63" i="28"/>
  <c r="E65" i="28"/>
  <c r="E66" i="28"/>
  <c r="E67" i="28"/>
  <c r="E68" i="28"/>
  <c r="E69" i="28"/>
  <c r="E73" i="28"/>
  <c r="E74" i="28"/>
  <c r="E77" i="28"/>
  <c r="E78" i="28"/>
  <c r="E79" i="28"/>
  <c r="E81" i="28"/>
  <c r="E82" i="28"/>
  <c r="E83" i="28"/>
  <c r="E84" i="28"/>
  <c r="E85" i="28"/>
  <c r="E89" i="28"/>
  <c r="E90" i="28"/>
  <c r="E93" i="28"/>
  <c r="E94" i="28"/>
  <c r="E95" i="28"/>
  <c r="E97" i="28"/>
  <c r="E98" i="28"/>
  <c r="E99" i="28"/>
  <c r="E100" i="28"/>
  <c r="E101" i="28"/>
  <c r="E105" i="28"/>
  <c r="E106" i="28"/>
  <c r="E35" i="28"/>
  <c r="E109" i="28"/>
  <c r="E110" i="28"/>
  <c r="E111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7" i="28"/>
  <c r="E8" i="28"/>
  <c r="E22" i="28"/>
  <c r="E23" i="28"/>
  <c r="E24" i="28"/>
  <c r="E38" i="28"/>
  <c r="E39" i="28"/>
  <c r="E40" i="28"/>
  <c r="E54" i="28"/>
  <c r="E55" i="28"/>
  <c r="E56" i="28"/>
  <c r="E70" i="28"/>
  <c r="E71" i="28"/>
  <c r="E72" i="28"/>
  <c r="E86" i="28"/>
  <c r="E87" i="28"/>
  <c r="E88" i="28"/>
  <c r="E102" i="28"/>
  <c r="E103" i="28"/>
  <c r="E104" i="28"/>
  <c r="E11" i="28"/>
  <c r="E12" i="28"/>
  <c r="E27" i="28"/>
  <c r="E28" i="28"/>
  <c r="E43" i="28"/>
  <c r="E44" i="28"/>
  <c r="E59" i="28"/>
  <c r="E60" i="28"/>
  <c r="E75" i="28"/>
  <c r="E76" i="28"/>
  <c r="E91" i="28"/>
  <c r="E92" i="28"/>
  <c r="E107" i="28"/>
  <c r="E108" i="28"/>
  <c r="E16" i="28"/>
  <c r="E32" i="28"/>
  <c r="E48" i="28"/>
  <c r="E64" i="28"/>
  <c r="E80" i="28"/>
  <c r="E96" i="28"/>
  <c r="E112" i="28"/>
  <c r="Y95" i="5" l="1"/>
  <c r="X95" i="5"/>
  <c r="W95" i="5"/>
  <c r="W104" i="5"/>
  <c r="X104" i="5"/>
  <c r="Y104" i="5"/>
  <c r="Z104" i="5" l="1"/>
  <c r="AB104" i="5" s="1"/>
  <c r="Z95" i="5"/>
  <c r="AB95" i="5" s="1"/>
  <c r="Y107" i="5" l="1"/>
  <c r="X107" i="5"/>
  <c r="W107" i="5"/>
  <c r="Z107" i="5" l="1"/>
  <c r="AB107" i="5" s="1"/>
  <c r="Y38" i="5"/>
  <c r="X38" i="5"/>
  <c r="W38" i="5"/>
  <c r="Z38" i="5" l="1"/>
  <c r="AB38" i="5" s="1"/>
  <c r="Y124" i="5"/>
  <c r="X124" i="5"/>
  <c r="W124" i="5"/>
  <c r="Y60" i="5"/>
  <c r="X60" i="5"/>
  <c r="W60" i="5"/>
  <c r="Z124" i="5" l="1"/>
  <c r="AB124" i="5" s="1"/>
  <c r="Z60" i="5"/>
  <c r="AB60" i="5" s="1"/>
  <c r="Y87" i="5" l="1"/>
  <c r="X87" i="5"/>
  <c r="W87" i="5"/>
  <c r="Z87" i="5" l="1"/>
  <c r="AB87" i="5" s="1"/>
  <c r="Y83" i="5"/>
  <c r="X83" i="5"/>
  <c r="W83" i="5"/>
  <c r="Z83" i="5" l="1"/>
  <c r="AB83" i="5" s="1"/>
  <c r="Y162" i="5"/>
  <c r="X162" i="5"/>
  <c r="W162" i="5"/>
  <c r="Z162" i="5" l="1"/>
  <c r="AB162" i="5" s="1"/>
  <c r="Y134" i="5" l="1"/>
  <c r="X134" i="5"/>
  <c r="W134" i="5"/>
  <c r="Z134" i="5" l="1"/>
  <c r="AB134" i="5" s="1"/>
  <c r="Y72" i="5" l="1"/>
  <c r="X72" i="5"/>
  <c r="W72" i="5"/>
  <c r="Z72" i="5" l="1"/>
  <c r="AB72" i="5" s="1"/>
  <c r="E3" i="28"/>
  <c r="D6" i="28" l="1"/>
  <c r="C6" i="28"/>
  <c r="B6" i="28"/>
  <c r="A6" i="28"/>
  <c r="E6" i="28" l="1"/>
  <c r="Y9" i="5"/>
  <c r="X9" i="5"/>
  <c r="W9" i="5"/>
  <c r="Z9" i="5" l="1"/>
  <c r="AB9" i="5" s="1"/>
  <c r="Y85" i="5"/>
  <c r="X85" i="5"/>
  <c r="W85" i="5"/>
  <c r="Z85" i="5" l="1"/>
  <c r="AB85" i="5" s="1"/>
  <c r="Y147" i="5" l="1"/>
  <c r="X147" i="5"/>
  <c r="W147" i="5"/>
  <c r="Y151" i="5"/>
  <c r="X151" i="5"/>
  <c r="W151" i="5"/>
  <c r="Z147" i="5" l="1"/>
  <c r="AB147" i="5" s="1"/>
  <c r="Z151" i="5"/>
  <c r="AB151" i="5" s="1"/>
  <c r="Y127" i="5"/>
  <c r="X127" i="5"/>
  <c r="W127" i="5"/>
  <c r="Y73" i="5"/>
  <c r="X73" i="5"/>
  <c r="W73" i="5"/>
  <c r="Z127" i="5" l="1"/>
  <c r="AB127" i="5" s="1"/>
  <c r="Z73" i="5"/>
  <c r="AB73" i="5" s="1"/>
  <c r="Y146" i="5" l="1"/>
  <c r="X146" i="5"/>
  <c r="W146" i="5"/>
  <c r="Z146" i="5" l="1"/>
  <c r="AB146" i="5" s="1"/>
  <c r="Y10" i="5"/>
  <c r="X10" i="5"/>
  <c r="W10" i="5"/>
  <c r="Z10" i="5" l="1"/>
  <c r="AB10" i="5" s="1"/>
  <c r="V15" i="7" l="1"/>
  <c r="V14" i="7"/>
  <c r="V13" i="7"/>
  <c r="V12" i="7"/>
  <c r="V11" i="7"/>
  <c r="V10" i="7"/>
  <c r="V9" i="7"/>
  <c r="V8" i="7"/>
  <c r="V7" i="7"/>
  <c r="V6" i="7"/>
  <c r="V5" i="7"/>
  <c r="V4" i="7"/>
  <c r="V3" i="7"/>
  <c r="Y119" i="5" l="1"/>
  <c r="X119" i="5"/>
  <c r="W119" i="5"/>
  <c r="Z119" i="5" l="1"/>
  <c r="AB119" i="5" s="1"/>
  <c r="Y170" i="5"/>
  <c r="X170" i="5"/>
  <c r="W170" i="5"/>
  <c r="Z170" i="5" l="1"/>
  <c r="AB170" i="5" s="1"/>
  <c r="Y45" i="5" l="1"/>
  <c r="X45" i="5"/>
  <c r="W45" i="5"/>
  <c r="Z45" i="5" l="1"/>
  <c r="AB45" i="5" s="1"/>
  <c r="Y112" i="5"/>
  <c r="X112" i="5"/>
  <c r="W112" i="5"/>
  <c r="Z112" i="5" l="1"/>
  <c r="AB112" i="5" s="1"/>
  <c r="Y57" i="5"/>
  <c r="X57" i="5"/>
  <c r="W57" i="5"/>
  <c r="Z57" i="5" l="1"/>
  <c r="AB57" i="5" s="1"/>
  <c r="Y81" i="5" l="1"/>
  <c r="X81" i="5"/>
  <c r="W81" i="5"/>
  <c r="Z81" i="5" l="1"/>
  <c r="AB81" i="5" s="1"/>
  <c r="Y129" i="5" l="1"/>
  <c r="X129" i="5"/>
  <c r="W129" i="5"/>
  <c r="Z129" i="5" l="1"/>
  <c r="AB129" i="5" s="1"/>
  <c r="Y47" i="5"/>
  <c r="X47" i="5"/>
  <c r="W47" i="5"/>
  <c r="Z47" i="5" l="1"/>
  <c r="AB47" i="5" s="1"/>
  <c r="Y59" i="5"/>
  <c r="X59" i="5"/>
  <c r="W59" i="5"/>
  <c r="Z59" i="5" l="1"/>
  <c r="AB59" i="5" s="1"/>
  <c r="Y14" i="5" l="1"/>
  <c r="X14" i="5"/>
  <c r="W14" i="5"/>
  <c r="Z14" i="5" l="1"/>
  <c r="AB14" i="5" s="1"/>
  <c r="Y70" i="5" l="1"/>
  <c r="X70" i="5"/>
  <c r="W70" i="5"/>
  <c r="Z70" i="5" l="1"/>
  <c r="AB70" i="5" s="1"/>
  <c r="Y142" i="5"/>
  <c r="X142" i="5"/>
  <c r="W142" i="5"/>
  <c r="Z142" i="5" l="1"/>
  <c r="AB142" i="5" s="1"/>
  <c r="Y126" i="5"/>
  <c r="X126" i="5"/>
  <c r="W126" i="5"/>
  <c r="Z126" i="5" l="1"/>
  <c r="AB126" i="5" s="1"/>
  <c r="X193" i="5"/>
  <c r="X192" i="5"/>
  <c r="X191" i="5"/>
  <c r="X189" i="5"/>
  <c r="X188" i="5"/>
  <c r="X187" i="5"/>
  <c r="X183" i="5"/>
  <c r="X182" i="5"/>
  <c r="X181" i="5"/>
  <c r="X179" i="5"/>
  <c r="X175" i="5"/>
  <c r="X173" i="5"/>
  <c r="X171" i="5"/>
  <c r="X167" i="5"/>
  <c r="X165" i="5"/>
  <c r="X164" i="5"/>
  <c r="X161" i="5"/>
  <c r="X160" i="5"/>
  <c r="X157" i="5"/>
  <c r="X156" i="5"/>
  <c r="X155" i="5"/>
  <c r="X153" i="5"/>
  <c r="X149" i="5"/>
  <c r="X148" i="5"/>
  <c r="X144" i="5"/>
  <c r="X143" i="5"/>
  <c r="X140" i="5"/>
  <c r="X139" i="5"/>
  <c r="X138" i="5"/>
  <c r="X136" i="5"/>
  <c r="X128" i="5"/>
  <c r="X110" i="5"/>
  <c r="X177" i="5"/>
  <c r="X79" i="5"/>
  <c r="X166" i="5"/>
  <c r="X103" i="5"/>
  <c r="X122" i="5"/>
  <c r="X75" i="5"/>
  <c r="X64" i="5"/>
  <c r="X80" i="5"/>
  <c r="X108" i="5"/>
  <c r="X176" i="5"/>
  <c r="X37" i="5"/>
  <c r="X56" i="5"/>
  <c r="X55" i="5"/>
  <c r="X88" i="5"/>
  <c r="X120" i="5"/>
  <c r="X63" i="5"/>
  <c r="X133" i="5"/>
  <c r="X117" i="5"/>
  <c r="X91" i="5"/>
  <c r="X125" i="5"/>
  <c r="X105" i="5"/>
  <c r="X53" i="5"/>
  <c r="X86" i="5"/>
  <c r="X102" i="5"/>
  <c r="X137" i="5"/>
  <c r="X51" i="5"/>
  <c r="X185" i="5"/>
  <c r="X184" i="5"/>
  <c r="X132" i="5"/>
  <c r="X97" i="5"/>
  <c r="X68" i="5"/>
  <c r="X89" i="5"/>
  <c r="X152" i="5"/>
  <c r="X135" i="5"/>
  <c r="X82" i="5"/>
  <c r="X163" i="5"/>
  <c r="X158" i="5"/>
  <c r="X94" i="5"/>
  <c r="X67" i="5"/>
  <c r="X17" i="5"/>
  <c r="X121" i="5"/>
  <c r="X150" i="5"/>
  <c r="X145" i="5"/>
  <c r="X42" i="5"/>
  <c r="X22" i="5"/>
  <c r="X50" i="5"/>
  <c r="X49" i="5"/>
  <c r="X174" i="5"/>
  <c r="X18" i="5"/>
  <c r="X113" i="5"/>
  <c r="X99" i="5"/>
  <c r="X96" i="5"/>
  <c r="X35" i="5"/>
  <c r="X74" i="5"/>
  <c r="X111" i="5"/>
  <c r="X186" i="5"/>
  <c r="X41" i="5"/>
  <c r="X116" i="5"/>
  <c r="X114" i="5"/>
  <c r="X69" i="5"/>
  <c r="X98" i="5"/>
  <c r="X159" i="5"/>
  <c r="X123" i="5"/>
  <c r="X33" i="5"/>
  <c r="X44" i="5"/>
  <c r="X19" i="5"/>
  <c r="X30" i="5"/>
  <c r="X178" i="5"/>
  <c r="X77" i="5"/>
  <c r="X76" i="5"/>
  <c r="X4" i="5"/>
  <c r="X54" i="5"/>
  <c r="X52" i="5"/>
  <c r="X16" i="5"/>
  <c r="X62" i="5"/>
  <c r="X11" i="5"/>
  <c r="X61" i="5"/>
  <c r="X20" i="5"/>
  <c r="X48" i="5"/>
  <c r="X5" i="5"/>
  <c r="X29" i="5"/>
  <c r="X90" i="5"/>
  <c r="X28" i="5"/>
  <c r="X66" i="5"/>
  <c r="X141" i="5"/>
  <c r="X101" i="5"/>
  <c r="X78" i="5"/>
  <c r="X40" i="5"/>
  <c r="X169" i="5"/>
  <c r="X168" i="5"/>
  <c r="X115" i="5"/>
  <c r="X27" i="5"/>
  <c r="X23" i="5"/>
  <c r="X13" i="5"/>
  <c r="X92" i="5"/>
  <c r="X21" i="5"/>
  <c r="X180" i="5"/>
  <c r="X8" i="5"/>
  <c r="X7" i="5"/>
  <c r="X39" i="5"/>
  <c r="X46" i="5"/>
  <c r="X154" i="5"/>
  <c r="X130" i="5"/>
  <c r="X43" i="5"/>
  <c r="X84" i="5"/>
  <c r="X190" i="5"/>
  <c r="X71" i="5"/>
  <c r="X100" i="5"/>
  <c r="X6" i="5"/>
  <c r="X36" i="5"/>
  <c r="X34" i="5"/>
  <c r="X26" i="5"/>
  <c r="X93" i="5"/>
  <c r="X65" i="5"/>
  <c r="X12" i="5"/>
  <c r="X31" i="5"/>
  <c r="X172" i="5"/>
  <c r="X58" i="5"/>
  <c r="X131" i="5"/>
  <c r="X3" i="5"/>
  <c r="X25" i="5"/>
  <c r="X24" i="5"/>
  <c r="X32" i="5"/>
  <c r="X15" i="5"/>
  <c r="X2" i="5"/>
  <c r="Y144" i="5" l="1"/>
  <c r="W144" i="5"/>
  <c r="Z144" i="5" l="1"/>
  <c r="AB144" i="5" s="1"/>
  <c r="Y166" i="5" l="1"/>
  <c r="W166" i="5"/>
  <c r="Z166" i="5" l="1"/>
  <c r="AB166" i="5" s="1"/>
  <c r="Y55" i="5" l="1"/>
  <c r="W55" i="5"/>
  <c r="Z55" i="5" l="1"/>
  <c r="AB55" i="5" s="1"/>
  <c r="Y174" i="5" l="1"/>
  <c r="W174" i="5"/>
  <c r="Z174" i="5" l="1"/>
  <c r="AB174" i="5" s="1"/>
  <c r="Y182" i="5"/>
  <c r="W182" i="5"/>
  <c r="Z182" i="5" l="1"/>
  <c r="AB182" i="5" s="1"/>
  <c r="Y179" i="5" l="1"/>
  <c r="W179" i="5" l="1"/>
  <c r="W110" i="5"/>
  <c r="Y110" i="5"/>
  <c r="Z110" i="5" l="1"/>
  <c r="AB110" i="5" s="1"/>
  <c r="Z179" i="5"/>
  <c r="AB179" i="5" s="1"/>
  <c r="Y157" i="5" l="1"/>
  <c r="W157" i="5"/>
  <c r="Z157" i="5" l="1"/>
  <c r="AB157" i="5" s="1"/>
  <c r="Y145" i="5"/>
  <c r="W145" i="5"/>
  <c r="Z145" i="5" l="1"/>
  <c r="AB145" i="5" s="1"/>
  <c r="L14" i="31"/>
  <c r="K14" i="31"/>
  <c r="E4" i="28" l="1"/>
  <c r="E5" i="28"/>
  <c r="E2" i="28"/>
  <c r="Y29" i="5" l="1"/>
  <c r="W29" i="5"/>
  <c r="Z29" i="5" l="1"/>
  <c r="AB29" i="5" s="1"/>
  <c r="Y11" i="5"/>
  <c r="W11" i="5"/>
  <c r="Z11" i="5" l="1"/>
  <c r="AB11" i="5" s="1"/>
  <c r="Y165" i="5"/>
  <c r="W165" i="5"/>
  <c r="Z165" i="5" l="1"/>
  <c r="AB165" i="5" s="1"/>
  <c r="Z161" i="5"/>
  <c r="Y161" i="5"/>
  <c r="W161" i="5"/>
  <c r="Z164" i="5"/>
  <c r="Y164" i="5"/>
  <c r="W164" i="5"/>
  <c r="Z160" i="5"/>
  <c r="Y160" i="5"/>
  <c r="W160" i="5"/>
  <c r="Z167" i="5"/>
  <c r="Y167" i="5"/>
  <c r="W167" i="5"/>
  <c r="Z148" i="5"/>
  <c r="Y148" i="5"/>
  <c r="W148" i="5"/>
  <c r="Y143" i="5"/>
  <c r="W143" i="5"/>
  <c r="Z143" i="5" s="1"/>
  <c r="Z140" i="5"/>
  <c r="Y140" i="5"/>
  <c r="W140" i="5"/>
  <c r="Z138" i="5"/>
  <c r="Y138" i="5"/>
  <c r="W138" i="5"/>
  <c r="Z192" i="5"/>
  <c r="Y192" i="5"/>
  <c r="W192" i="5"/>
  <c r="Z183" i="5"/>
  <c r="Y183" i="5"/>
  <c r="W183" i="5"/>
  <c r="Z188" i="5"/>
  <c r="Y188" i="5"/>
  <c r="W188" i="5"/>
  <c r="Z149" i="5"/>
  <c r="Y149" i="5"/>
  <c r="W149" i="5"/>
  <c r="Z156" i="5"/>
  <c r="Y156" i="5"/>
  <c r="W156" i="5"/>
  <c r="Y128" i="5"/>
  <c r="W128" i="5"/>
  <c r="Z128" i="5" s="1"/>
  <c r="Y185" i="5"/>
  <c r="W185" i="5"/>
  <c r="Y108" i="5"/>
  <c r="W108" i="5"/>
  <c r="Y5" i="5"/>
  <c r="W5" i="5"/>
  <c r="Y99" i="5"/>
  <c r="W99" i="5"/>
  <c r="Z99" i="5" s="1"/>
  <c r="Y94" i="5"/>
  <c r="W94" i="5"/>
  <c r="Y74" i="5"/>
  <c r="W74" i="5"/>
  <c r="Y120" i="5"/>
  <c r="W120" i="5"/>
  <c r="Y63" i="5"/>
  <c r="W63" i="5"/>
  <c r="Y102" i="5"/>
  <c r="W102" i="5"/>
  <c r="Y171" i="5"/>
  <c r="W171" i="5"/>
  <c r="Y169" i="5"/>
  <c r="W169" i="5"/>
  <c r="Y114" i="5"/>
  <c r="W114" i="5"/>
  <c r="Z114" i="5" s="1"/>
  <c r="Y125" i="5"/>
  <c r="W125" i="5"/>
  <c r="Y98" i="5"/>
  <c r="W98" i="5"/>
  <c r="Y155" i="5"/>
  <c r="W155" i="5"/>
  <c r="Y123" i="5"/>
  <c r="W123" i="5"/>
  <c r="Z123" i="5" s="1"/>
  <c r="Y103" i="5"/>
  <c r="W103" i="5"/>
  <c r="Y44" i="5"/>
  <c r="W44" i="5"/>
  <c r="Y137" i="5"/>
  <c r="W137" i="5"/>
  <c r="Y189" i="5"/>
  <c r="W189" i="5"/>
  <c r="Y117" i="5"/>
  <c r="W117" i="5"/>
  <c r="Y177" i="5"/>
  <c r="W177" i="5"/>
  <c r="Y77" i="5"/>
  <c r="W77" i="5"/>
  <c r="Y113" i="5"/>
  <c r="W113" i="5"/>
  <c r="Z113" i="5" s="1"/>
  <c r="Y158" i="5"/>
  <c r="W158" i="5"/>
  <c r="Y121" i="5"/>
  <c r="W121" i="5"/>
  <c r="Y153" i="5"/>
  <c r="W153" i="5"/>
  <c r="Y88" i="5"/>
  <c r="W88" i="5"/>
  <c r="Y86" i="5"/>
  <c r="W86" i="5"/>
  <c r="Y52" i="5"/>
  <c r="W52" i="5"/>
  <c r="Y80" i="5"/>
  <c r="W80" i="5"/>
  <c r="Y181" i="5"/>
  <c r="W181" i="5"/>
  <c r="Y176" i="5"/>
  <c r="W176" i="5"/>
  <c r="Y91" i="5"/>
  <c r="W91" i="5"/>
  <c r="Y105" i="5"/>
  <c r="W105" i="5"/>
  <c r="Y97" i="5"/>
  <c r="W97" i="5"/>
  <c r="Y122" i="5"/>
  <c r="W122" i="5"/>
  <c r="Y51" i="5"/>
  <c r="W51" i="5"/>
  <c r="Y178" i="5"/>
  <c r="W178" i="5"/>
  <c r="Y175" i="5"/>
  <c r="W175" i="5"/>
  <c r="Y69" i="5"/>
  <c r="W69" i="5"/>
  <c r="Y76" i="5"/>
  <c r="W76" i="5"/>
  <c r="Y17" i="5"/>
  <c r="W17" i="5"/>
  <c r="Y33" i="5"/>
  <c r="W33" i="5"/>
  <c r="Y75" i="5"/>
  <c r="W75" i="5"/>
  <c r="Y64" i="5"/>
  <c r="W64" i="5"/>
  <c r="Y135" i="5"/>
  <c r="W135" i="5"/>
  <c r="Y184" i="5"/>
  <c r="W184" i="5"/>
  <c r="Y8" i="5"/>
  <c r="W8" i="5"/>
  <c r="Y132" i="5"/>
  <c r="W132" i="5"/>
  <c r="Y116" i="5"/>
  <c r="W116" i="5"/>
  <c r="Y56" i="5"/>
  <c r="W56" i="5"/>
  <c r="Y68" i="5"/>
  <c r="W68" i="5"/>
  <c r="Y66" i="5"/>
  <c r="W66" i="5"/>
  <c r="Y53" i="5"/>
  <c r="W53" i="5"/>
  <c r="Y23" i="5"/>
  <c r="W23" i="5"/>
  <c r="Y111" i="5"/>
  <c r="W111" i="5"/>
  <c r="Y50" i="5"/>
  <c r="W50" i="5"/>
  <c r="Y133" i="5"/>
  <c r="W133" i="5"/>
  <c r="Y18" i="5"/>
  <c r="W18" i="5"/>
  <c r="Y168" i="5"/>
  <c r="W168" i="5"/>
  <c r="Y159" i="5"/>
  <c r="W159" i="5"/>
  <c r="Y90" i="5"/>
  <c r="W90" i="5"/>
  <c r="Y89" i="5"/>
  <c r="W89" i="5"/>
  <c r="Y152" i="5"/>
  <c r="W152" i="5"/>
  <c r="Y13" i="5"/>
  <c r="W13" i="5"/>
  <c r="Y22" i="5"/>
  <c r="W22" i="5"/>
  <c r="Y187" i="5"/>
  <c r="W187" i="5"/>
  <c r="Y78" i="5"/>
  <c r="W78" i="5"/>
  <c r="Y6" i="5"/>
  <c r="W6" i="5"/>
  <c r="Y37" i="5"/>
  <c r="W37" i="5"/>
  <c r="Y28" i="5"/>
  <c r="W28" i="5"/>
  <c r="Y15" i="5"/>
  <c r="W15" i="5"/>
  <c r="Y42" i="5"/>
  <c r="W42" i="5"/>
  <c r="Y139" i="5"/>
  <c r="W139" i="5"/>
  <c r="Y62" i="5"/>
  <c r="W62" i="5"/>
  <c r="Y92" i="5"/>
  <c r="W92" i="5"/>
  <c r="Y61" i="5"/>
  <c r="W61" i="5"/>
  <c r="Y49" i="5"/>
  <c r="W49" i="5"/>
  <c r="Y79" i="5"/>
  <c r="W79" i="5"/>
  <c r="Y39" i="5"/>
  <c r="W39" i="5"/>
  <c r="Y115" i="5"/>
  <c r="W115" i="5"/>
  <c r="Y35" i="5"/>
  <c r="W35" i="5"/>
  <c r="Y67" i="5"/>
  <c r="W67" i="5"/>
  <c r="Y27" i="5"/>
  <c r="W27" i="5"/>
  <c r="Y150" i="5"/>
  <c r="W150" i="5"/>
  <c r="Y2" i="5"/>
  <c r="W2" i="5"/>
  <c r="Y21" i="5"/>
  <c r="W21" i="5"/>
  <c r="Y186" i="5"/>
  <c r="W186" i="5"/>
  <c r="Y101" i="5"/>
  <c r="W101" i="5"/>
  <c r="Y20" i="5"/>
  <c r="W20" i="5"/>
  <c r="Y71" i="5"/>
  <c r="W71" i="5"/>
  <c r="Y41" i="5"/>
  <c r="W41" i="5"/>
  <c r="Y163" i="5"/>
  <c r="W163" i="5"/>
  <c r="Y154" i="5"/>
  <c r="W154" i="5"/>
  <c r="Y54" i="5"/>
  <c r="W54" i="5"/>
  <c r="Y82" i="5"/>
  <c r="W82" i="5"/>
  <c r="Y31" i="5"/>
  <c r="W31" i="5"/>
  <c r="Y180" i="5"/>
  <c r="W180" i="5"/>
  <c r="Y172" i="5"/>
  <c r="W172" i="5"/>
  <c r="Y36" i="5"/>
  <c r="W36" i="5"/>
  <c r="Y96" i="5"/>
  <c r="W96" i="5"/>
  <c r="Y24" i="5"/>
  <c r="W24" i="5"/>
  <c r="Y93" i="5"/>
  <c r="W93" i="5"/>
  <c r="Y65" i="5"/>
  <c r="W65" i="5"/>
  <c r="Y43" i="5"/>
  <c r="W43" i="5"/>
  <c r="Y84" i="5"/>
  <c r="W84" i="5"/>
  <c r="Y100" i="5"/>
  <c r="W100" i="5"/>
  <c r="Y7" i="5"/>
  <c r="W7" i="5"/>
  <c r="Y48" i="5"/>
  <c r="W48" i="5"/>
  <c r="Y131" i="5"/>
  <c r="W131" i="5"/>
  <c r="Y4" i="5"/>
  <c r="W4" i="5"/>
  <c r="Y46" i="5"/>
  <c r="W46" i="5"/>
  <c r="Y34" i="5"/>
  <c r="W34" i="5"/>
  <c r="Y25" i="5"/>
  <c r="W25" i="5"/>
  <c r="Y32" i="5"/>
  <c r="W32" i="5"/>
  <c r="Y141" i="5"/>
  <c r="W141" i="5"/>
  <c r="Y190" i="5"/>
  <c r="W190" i="5"/>
  <c r="Y19" i="5"/>
  <c r="W19" i="5"/>
  <c r="Y30" i="5"/>
  <c r="W30" i="5"/>
  <c r="Y40" i="5"/>
  <c r="W40" i="5"/>
  <c r="Y58" i="5"/>
  <c r="W58" i="5"/>
  <c r="Y3" i="5"/>
  <c r="W3" i="5"/>
  <c r="Y26" i="5"/>
  <c r="W26" i="5"/>
  <c r="Y16" i="5"/>
  <c r="W16" i="5"/>
  <c r="Y130" i="5"/>
  <c r="W130" i="5"/>
  <c r="Y12" i="5"/>
  <c r="W12" i="5"/>
  <c r="Z193" i="5"/>
  <c r="Y193" i="5"/>
  <c r="W193" i="5"/>
  <c r="Z191" i="5"/>
  <c r="Y191" i="5"/>
  <c r="W191" i="5"/>
  <c r="Z173" i="5"/>
  <c r="Y173" i="5"/>
  <c r="W173" i="5"/>
  <c r="Z136" i="5"/>
  <c r="Y136" i="5"/>
  <c r="Z16" i="5" l="1"/>
  <c r="AB16" i="5" s="1"/>
  <c r="Z40" i="5"/>
  <c r="AB40" i="5" s="1"/>
  <c r="Z141" i="5"/>
  <c r="AB141" i="5" s="1"/>
  <c r="Z46" i="5"/>
  <c r="AB46" i="5" s="1"/>
  <c r="Z7" i="5"/>
  <c r="AB7" i="5" s="1"/>
  <c r="Z65" i="5"/>
  <c r="AB65" i="5" s="1"/>
  <c r="Z36" i="5"/>
  <c r="AB36" i="5" s="1"/>
  <c r="Z82" i="5"/>
  <c r="AB82" i="5" s="1"/>
  <c r="Z41" i="5"/>
  <c r="AB41" i="5" s="1"/>
  <c r="Z186" i="5"/>
  <c r="AB186" i="5" s="1"/>
  <c r="Z27" i="5"/>
  <c r="AB27" i="5" s="1"/>
  <c r="Z39" i="5"/>
  <c r="AB39" i="5" s="1"/>
  <c r="Z92" i="5"/>
  <c r="AB92" i="5" s="1"/>
  <c r="Z15" i="5"/>
  <c r="AB15" i="5" s="1"/>
  <c r="Z78" i="5"/>
  <c r="AB78" i="5" s="1"/>
  <c r="Z152" i="5"/>
  <c r="AB152" i="5" s="1"/>
  <c r="Z168" i="5"/>
  <c r="AB168" i="5" s="1"/>
  <c r="Z111" i="5"/>
  <c r="AB111" i="5" s="1"/>
  <c r="Z68" i="5"/>
  <c r="AB68" i="5" s="1"/>
  <c r="Z8" i="5"/>
  <c r="AB8" i="5" s="1"/>
  <c r="Z75" i="5"/>
  <c r="AB75" i="5" s="1"/>
  <c r="Z69" i="5"/>
  <c r="AB69" i="5" s="1"/>
  <c r="Z122" i="5"/>
  <c r="AB122" i="5" s="1"/>
  <c r="Z176" i="5"/>
  <c r="AB176" i="5" s="1"/>
  <c r="Z52" i="5"/>
  <c r="AB52" i="5" s="1"/>
  <c r="Z121" i="5"/>
  <c r="AB121" i="5" s="1"/>
  <c r="Z177" i="5"/>
  <c r="AB177" i="5" s="1"/>
  <c r="Z44" i="5"/>
  <c r="AB44" i="5" s="1"/>
  <c r="Z74" i="5"/>
  <c r="AB74" i="5" s="1"/>
  <c r="Z98" i="5"/>
  <c r="AB98" i="5" s="1"/>
  <c r="Z189" i="5"/>
  <c r="AB189" i="5" s="1"/>
  <c r="Z130" i="5"/>
  <c r="AB130" i="5" s="1"/>
  <c r="Z58" i="5"/>
  <c r="AB58" i="5" s="1"/>
  <c r="Z48" i="5"/>
  <c r="AB48" i="5" s="1"/>
  <c r="Z43" i="5"/>
  <c r="AB43" i="5" s="1"/>
  <c r="Z163" i="5"/>
  <c r="AB163" i="5" s="1"/>
  <c r="Z61" i="5"/>
  <c r="AB61" i="5" s="1"/>
  <c r="Z6" i="5"/>
  <c r="AB6" i="5" s="1"/>
  <c r="Z159" i="5"/>
  <c r="AB159" i="5" s="1"/>
  <c r="Z66" i="5"/>
  <c r="AB66" i="5" s="1"/>
  <c r="Z132" i="5"/>
  <c r="AB132" i="5" s="1"/>
  <c r="Z76" i="5"/>
  <c r="AB76" i="5" s="1"/>
  <c r="Z108" i="5"/>
  <c r="AB108" i="5" s="1"/>
  <c r="Z190" i="5"/>
  <c r="AB190" i="5" s="1"/>
  <c r="Z34" i="5"/>
  <c r="AB34" i="5" s="1"/>
  <c r="Z96" i="5"/>
  <c r="AB96" i="5" s="1"/>
  <c r="Z31" i="5"/>
  <c r="AB31" i="5" s="1"/>
  <c r="Z101" i="5"/>
  <c r="AB101" i="5" s="1"/>
  <c r="Z150" i="5"/>
  <c r="AB150" i="5" s="1"/>
  <c r="Z115" i="5"/>
  <c r="AB115" i="5" s="1"/>
  <c r="Z42" i="5"/>
  <c r="AB42" i="5" s="1"/>
  <c r="Z13" i="5"/>
  <c r="AB13" i="5" s="1"/>
  <c r="Z50" i="5"/>
  <c r="AB50" i="5" s="1"/>
  <c r="Z64" i="5"/>
  <c r="AB64" i="5" s="1"/>
  <c r="Z51" i="5"/>
  <c r="AB51" i="5" s="1"/>
  <c r="Z91" i="5"/>
  <c r="AB91" i="5" s="1"/>
  <c r="Z153" i="5"/>
  <c r="AB153" i="5" s="1"/>
  <c r="Z171" i="5"/>
  <c r="AB171" i="5" s="1"/>
  <c r="Z88" i="5"/>
  <c r="AB88" i="5" s="1"/>
  <c r="AB138" i="5"/>
  <c r="AB167" i="5"/>
  <c r="Z77" i="5"/>
  <c r="AB77" i="5" s="1"/>
  <c r="Z137" i="5"/>
  <c r="AB137" i="5" s="1"/>
  <c r="Z155" i="5"/>
  <c r="AB155" i="5" s="1"/>
  <c r="Z169" i="5"/>
  <c r="AB169" i="5" s="1"/>
  <c r="Z120" i="5"/>
  <c r="AB120" i="5" s="1"/>
  <c r="Z5" i="5"/>
  <c r="AB5" i="5" s="1"/>
  <c r="Z12" i="5"/>
  <c r="AB12" i="5" s="1"/>
  <c r="Z3" i="5"/>
  <c r="AB3" i="5" s="1"/>
  <c r="Z19" i="5"/>
  <c r="AB19" i="5" s="1"/>
  <c r="Z131" i="5"/>
  <c r="AB131" i="5" s="1"/>
  <c r="Z154" i="5"/>
  <c r="AB154" i="5" s="1"/>
  <c r="Z25" i="5"/>
  <c r="AB25" i="5" s="1"/>
  <c r="Z84" i="5"/>
  <c r="AB84" i="5" s="1"/>
  <c r="Z24" i="5"/>
  <c r="AB24" i="5" s="1"/>
  <c r="Z180" i="5"/>
  <c r="AB180" i="5" s="1"/>
  <c r="AB113" i="5"/>
  <c r="AB99" i="5"/>
  <c r="Z20" i="5"/>
  <c r="AB20" i="5" s="1"/>
  <c r="Z2" i="5"/>
  <c r="AB2" i="5" s="1"/>
  <c r="Z35" i="5"/>
  <c r="AB35" i="5" s="1"/>
  <c r="Z49" i="5"/>
  <c r="AB49" i="5" s="1"/>
  <c r="Z139" i="5"/>
  <c r="AB139" i="5" s="1"/>
  <c r="Z37" i="5"/>
  <c r="AB37" i="5" s="1"/>
  <c r="Z22" i="5"/>
  <c r="AB22" i="5" s="1"/>
  <c r="Z90" i="5"/>
  <c r="AB90" i="5" s="1"/>
  <c r="Z133" i="5"/>
  <c r="AB133" i="5" s="1"/>
  <c r="AB183" i="5"/>
  <c r="Z53" i="5"/>
  <c r="AB53" i="5" s="1"/>
  <c r="Z116" i="5"/>
  <c r="AB116" i="5" s="1"/>
  <c r="Z135" i="5"/>
  <c r="AB135" i="5" s="1"/>
  <c r="Z17" i="5"/>
  <c r="AB17" i="5" s="1"/>
  <c r="Z178" i="5"/>
  <c r="AB178" i="5" s="1"/>
  <c r="Z105" i="5"/>
  <c r="AB105" i="5" s="1"/>
  <c r="Z80" i="5"/>
  <c r="AB80" i="5" s="1"/>
  <c r="AB143" i="5"/>
  <c r="Z63" i="5"/>
  <c r="AB63" i="5" s="1"/>
  <c r="Z26" i="5"/>
  <c r="AB26" i="5" s="1"/>
  <c r="AB193" i="5"/>
  <c r="Z18" i="5"/>
  <c r="AB18" i="5" s="1"/>
  <c r="Z93" i="5"/>
  <c r="AB93" i="5" s="1"/>
  <c r="Z175" i="5"/>
  <c r="AB175" i="5" s="1"/>
  <c r="AB156" i="5"/>
  <c r="AB192" i="5"/>
  <c r="AB173" i="5"/>
  <c r="Z71" i="5"/>
  <c r="AB71" i="5" s="1"/>
  <c r="Z28" i="5"/>
  <c r="AB28" i="5" s="1"/>
  <c r="AB123" i="5"/>
  <c r="Z185" i="5"/>
  <c r="AB185" i="5" s="1"/>
  <c r="Z32" i="5"/>
  <c r="AB32" i="5" s="1"/>
  <c r="Z54" i="5"/>
  <c r="AB54" i="5" s="1"/>
  <c r="Z89" i="5"/>
  <c r="AB89" i="5" s="1"/>
  <c r="Z56" i="5"/>
  <c r="AB56" i="5" s="1"/>
  <c r="AB114" i="5"/>
  <c r="AB148" i="5"/>
  <c r="AB161" i="5"/>
  <c r="Z67" i="5"/>
  <c r="AB67" i="5" s="1"/>
  <c r="AB191" i="5"/>
  <c r="Z30" i="5"/>
  <c r="AB30" i="5" s="1"/>
  <c r="Z100" i="5"/>
  <c r="AB100" i="5" s="1"/>
  <c r="Z21" i="5"/>
  <c r="AB21" i="5" s="1"/>
  <c r="Z62" i="5"/>
  <c r="AB62" i="5" s="1"/>
  <c r="Z23" i="5"/>
  <c r="AB23" i="5" s="1"/>
  <c r="Z33" i="5"/>
  <c r="AB33" i="5" s="1"/>
  <c r="AB149" i="5"/>
  <c r="AB160" i="5"/>
  <c r="AB164" i="5"/>
  <c r="Z4" i="5"/>
  <c r="AB4" i="5" s="1"/>
  <c r="Z172" i="5"/>
  <c r="AB172" i="5" s="1"/>
  <c r="Z79" i="5"/>
  <c r="AB79" i="5" s="1"/>
  <c r="Z187" i="5"/>
  <c r="AB187" i="5" s="1"/>
  <c r="Z184" i="5"/>
  <c r="AB184" i="5" s="1"/>
  <c r="AB128" i="5"/>
  <c r="AB188" i="5"/>
  <c r="AB140" i="5"/>
  <c r="Z97" i="5"/>
  <c r="AB97" i="5" s="1"/>
  <c r="Z181" i="5"/>
  <c r="AB181" i="5" s="1"/>
  <c r="Z86" i="5"/>
  <c r="AB86" i="5" s="1"/>
  <c r="Z158" i="5"/>
  <c r="AB158" i="5" s="1"/>
  <c r="Z117" i="5"/>
  <c r="AB117" i="5" s="1"/>
  <c r="Z103" i="5"/>
  <c r="AB103" i="5" s="1"/>
  <c r="Z125" i="5"/>
  <c r="AB125" i="5" s="1"/>
  <c r="Z102" i="5"/>
  <c r="AB102" i="5" s="1"/>
  <c r="Z94" i="5"/>
  <c r="AB94" i="5" s="1"/>
  <c r="D5" i="28" l="1"/>
  <c r="C5" i="28"/>
  <c r="B5" i="28"/>
  <c r="A5" i="28"/>
  <c r="AB136" i="5" l="1"/>
  <c r="W136" i="5" l="1"/>
</calcChain>
</file>

<file path=xl/sharedStrings.xml><?xml version="1.0" encoding="utf-8"?>
<sst xmlns="http://schemas.openxmlformats.org/spreadsheetml/2006/main" count="2147" uniqueCount="1018">
  <si>
    <t>FuturePrimitive</t>
  </si>
  <si>
    <t>Captnblaubaer</t>
  </si>
  <si>
    <t>CaroLinchen</t>
  </si>
  <si>
    <t>Turz</t>
  </si>
  <si>
    <t>DG-Nick</t>
  </si>
  <si>
    <t>E-Mail</t>
  </si>
  <si>
    <t>johan.verding@telenet.be</t>
  </si>
  <si>
    <t>EU-BNL-verding</t>
  </si>
  <si>
    <t>abra</t>
  </si>
  <si>
    <t>tibid</t>
  </si>
  <si>
    <t>amalesh</t>
  </si>
  <si>
    <t>Michael the pariah</t>
  </si>
  <si>
    <t>putney</t>
  </si>
  <si>
    <t>ELANRA</t>
  </si>
  <si>
    <t>Location</t>
  </si>
  <si>
    <t>Frank</t>
  </si>
  <si>
    <t>Funkypower</t>
  </si>
  <si>
    <t>funkypower@gmx.de</t>
  </si>
  <si>
    <t>Borgdorf-Seedorf  / D</t>
  </si>
  <si>
    <t>Ian</t>
  </si>
  <si>
    <t>Yamboian</t>
  </si>
  <si>
    <t>ianfulton@btinternet.com</t>
  </si>
  <si>
    <t>London / England</t>
  </si>
  <si>
    <t>Robert</t>
  </si>
  <si>
    <t>RedFly</t>
  </si>
  <si>
    <t>Port Elizabeth  / Südafrika</t>
  </si>
  <si>
    <t>Andreas</t>
  </si>
  <si>
    <t>dokobader@yahoo.de</t>
  </si>
  <si>
    <t>Bonn / D</t>
  </si>
  <si>
    <t>Freddie</t>
  </si>
  <si>
    <t>Freddie Sorensen</t>
  </si>
  <si>
    <t>freddiesorensen@outlook.com</t>
  </si>
  <si>
    <t>Buchs SG / Schweiz</t>
  </si>
  <si>
    <t>Brigitte</t>
  </si>
  <si>
    <t>brigitte_haaf@web.de</t>
  </si>
  <si>
    <t>Mainz / D</t>
  </si>
  <si>
    <t>Anestis</t>
  </si>
  <si>
    <t>ANESTIS</t>
  </si>
  <si>
    <t>a.pouferas@bigpond.com</t>
  </si>
  <si>
    <t>Adelaide / AUS</t>
  </si>
  <si>
    <t>kleanthismaniatis@gmail.com</t>
  </si>
  <si>
    <t>Canberra / Australia</t>
  </si>
  <si>
    <t>Kerstin</t>
  </si>
  <si>
    <t>kerstin.dobrindt@outlook.de</t>
  </si>
  <si>
    <t>Köln / D</t>
  </si>
  <si>
    <t>Rainer</t>
  </si>
  <si>
    <t>Feuillesmortes</t>
  </si>
  <si>
    <t>rainer.rogatzki@web.de</t>
  </si>
  <si>
    <t>Mülheim an der Ruhr</t>
  </si>
  <si>
    <t>Markus</t>
  </si>
  <si>
    <t>markus.in.bxl@gmail.com</t>
  </si>
  <si>
    <t>Brüssel / Belgien</t>
  </si>
  <si>
    <t>bi.turz@gmail.com</t>
  </si>
  <si>
    <t>Düsseldorf / D</t>
  </si>
  <si>
    <t>x</t>
  </si>
  <si>
    <t>Peter</t>
  </si>
  <si>
    <t>Dao</t>
  </si>
  <si>
    <t>peter@goberl.de</t>
  </si>
  <si>
    <t>Abensberg / D</t>
  </si>
  <si>
    <t>Klaus</t>
  </si>
  <si>
    <t>klic@mnet-online.de</t>
  </si>
  <si>
    <t>München / D</t>
  </si>
  <si>
    <t>Barney</t>
  </si>
  <si>
    <t>Fulesmacko</t>
  </si>
  <si>
    <t>barnabas.helmajer@gmail.com</t>
  </si>
  <si>
    <t>Budapest / Ungarn</t>
  </si>
  <si>
    <t>Elke</t>
  </si>
  <si>
    <t>MungoMH</t>
  </si>
  <si>
    <t>elcobra@freenet.de</t>
  </si>
  <si>
    <t>Mühlheim / D</t>
  </si>
  <si>
    <t>Richard</t>
  </si>
  <si>
    <t>riwagner@gmx.at</t>
  </si>
  <si>
    <t>Wien / Österreich</t>
  </si>
  <si>
    <t>Bernhard</t>
  </si>
  <si>
    <t>be.herwig@gmx.de</t>
  </si>
  <si>
    <t>Martin</t>
  </si>
  <si>
    <t>Martin of Harrogate</t>
  </si>
  <si>
    <t>martin@purplesageconsultancy.co.uk</t>
  </si>
  <si>
    <t>Liverpool  / England</t>
  </si>
  <si>
    <t>heidi.shehab@posteo.de</t>
  </si>
  <si>
    <t>Heidi</t>
  </si>
  <si>
    <t>Shehab</t>
  </si>
  <si>
    <t>Cora</t>
  </si>
  <si>
    <t>Ina</t>
  </si>
  <si>
    <t>Schoenegge-Rezaee</t>
  </si>
  <si>
    <t>i_schoenegge_rezaee@hotmail.com</t>
  </si>
  <si>
    <t>Belgien</t>
  </si>
  <si>
    <t>Tony</t>
  </si>
  <si>
    <t>tony.eatough@hey.com</t>
  </si>
  <si>
    <t>David</t>
  </si>
  <si>
    <t>Nureyev</t>
  </si>
  <si>
    <t>mrdavidmotley@gmail.com</t>
  </si>
  <si>
    <t>Birmingham -England</t>
  </si>
  <si>
    <t>Jim</t>
  </si>
  <si>
    <t>JimO</t>
  </si>
  <si>
    <t>jimohrberg@yahoo.com</t>
  </si>
  <si>
    <t>Orlando, Florida / USA</t>
  </si>
  <si>
    <t>Robin</t>
  </si>
  <si>
    <t>Julia</t>
  </si>
  <si>
    <t>Darkmavis</t>
  </si>
  <si>
    <t>pickashop@hotmail.com</t>
  </si>
  <si>
    <t>Egletons /Frankreich</t>
  </si>
  <si>
    <t>Cilla</t>
  </si>
  <si>
    <t>silvercilla@yahoo.se</t>
  </si>
  <si>
    <t>Mikel</t>
  </si>
  <si>
    <t>2yellow4u</t>
  </si>
  <si>
    <t>2yellow4u@web.de</t>
  </si>
  <si>
    <t>Memmingen / D</t>
  </si>
  <si>
    <t>François</t>
  </si>
  <si>
    <t>antitout.fn@gmail.com</t>
  </si>
  <si>
    <t>Köln / Frankreich</t>
  </si>
  <si>
    <t>dimensionenreiter@posteo.de</t>
  </si>
  <si>
    <t>Worpswede</t>
  </si>
  <si>
    <t>01520 / 6520333</t>
  </si>
  <si>
    <t>Hansjoerg</t>
  </si>
  <si>
    <t>Nutsch</t>
  </si>
  <si>
    <t>joschek1@bluewin.ch</t>
  </si>
  <si>
    <t>Bern / Schweiz</t>
  </si>
  <si>
    <t>John</t>
  </si>
  <si>
    <t>Animalj</t>
  </si>
  <si>
    <t>hjj@xs4all.nl</t>
  </si>
  <si>
    <t>Amsterdam / Netherlands</t>
  </si>
  <si>
    <t>Frédéric</t>
  </si>
  <si>
    <t>Annezin / Frankreich</t>
  </si>
  <si>
    <t>Steve</t>
  </si>
  <si>
    <t>Stevenwaller1956@gmail.com</t>
  </si>
  <si>
    <t>Minneapolis / USA</t>
  </si>
  <si>
    <t>Uli</t>
  </si>
  <si>
    <t>Uli1001</t>
  </si>
  <si>
    <t>Ulrich-stolz@web.de</t>
  </si>
  <si>
    <t>Sindelfingen</t>
  </si>
  <si>
    <t>Izzak</t>
  </si>
  <si>
    <t>izzakk@gmail.com</t>
  </si>
  <si>
    <t>Petah Tikva / Israel</t>
  </si>
  <si>
    <t>Dickie (Richard)</t>
  </si>
  <si>
    <t>rg864864@gmail.com</t>
  </si>
  <si>
    <t>Manila / Philippinen</t>
  </si>
  <si>
    <t>Rudolf</t>
  </si>
  <si>
    <t>Ringbrett</t>
  </si>
  <si>
    <t>rsoldermatt@bluewin.ch</t>
  </si>
  <si>
    <t>tibor.dekany@pcnetwork.ch</t>
  </si>
  <si>
    <t>Switzerland</t>
  </si>
  <si>
    <t>a.bg-turniere@amalesh.de</t>
  </si>
  <si>
    <t>Hamburg</t>
  </si>
  <si>
    <t>Kempf</t>
  </si>
  <si>
    <t>Tibor</t>
  </si>
  <si>
    <t>Michael</t>
  </si>
  <si>
    <t>psionic</t>
  </si>
  <si>
    <t>Johan</t>
  </si>
  <si>
    <t>Belgium</t>
  </si>
  <si>
    <t>Darwin /  Australien</t>
  </si>
  <si>
    <t>mhc718@hotmail.com</t>
  </si>
  <si>
    <t>Wagner</t>
  </si>
  <si>
    <t>gidee@aol.com</t>
  </si>
  <si>
    <t>Say La Vee</t>
  </si>
  <si>
    <t>oldehippy</t>
  </si>
  <si>
    <t>dzsobacsi</t>
  </si>
  <si>
    <t>Berki</t>
  </si>
  <si>
    <t xml:space="preserve">Tamas </t>
  </si>
  <si>
    <t xml:space="preserve">Bratislava, Slovakia </t>
  </si>
  <si>
    <t>andrgr</t>
  </si>
  <si>
    <t>andreas.graf2@aon.at</t>
  </si>
  <si>
    <t>Graz, Austria</t>
  </si>
  <si>
    <t>Otis</t>
  </si>
  <si>
    <t>Dallas</t>
  </si>
  <si>
    <t>Casey</t>
  </si>
  <si>
    <t>case_hopkins@yahoo.com</t>
  </si>
  <si>
    <t>770-355-3020 (cell)</t>
  </si>
  <si>
    <t>Hopkins</t>
  </si>
  <si>
    <t>gutpet@yahoo.at</t>
  </si>
  <si>
    <t>PiT</t>
  </si>
  <si>
    <t>Mikhail</t>
  </si>
  <si>
    <t>Lazarchuk</t>
  </si>
  <si>
    <t>lazartchouk@yahoo.com</t>
  </si>
  <si>
    <t>Russia</t>
  </si>
  <si>
    <t>Misha</t>
  </si>
  <si>
    <t>robin.wagenblast@gmx.de</t>
  </si>
  <si>
    <t>Wagenblast</t>
  </si>
  <si>
    <t>Patrick</t>
  </si>
  <si>
    <t>pallix</t>
  </si>
  <si>
    <t>Sweden</t>
  </si>
  <si>
    <t>Tom</t>
  </si>
  <si>
    <t>Duggan</t>
  </si>
  <si>
    <t>tomlikesbg@gmail.com</t>
  </si>
  <si>
    <t>likesbg</t>
  </si>
  <si>
    <t>london</t>
  </si>
  <si>
    <t>silvercilla</t>
  </si>
  <si>
    <t>Uppsala, Sweden</t>
  </si>
  <si>
    <t>Clark</t>
  </si>
  <si>
    <t>JJ Rio</t>
  </si>
  <si>
    <t>Winterthur, Switzerland</t>
  </si>
  <si>
    <t>jorico@hispeed.ch</t>
  </si>
  <si>
    <t>Christian</t>
  </si>
  <si>
    <t>Jacobs</t>
  </si>
  <si>
    <t>homputer</t>
  </si>
  <si>
    <t>erwin.hom@gmail.com</t>
  </si>
  <si>
    <t>Erwin</t>
  </si>
  <si>
    <t>Hom</t>
  </si>
  <si>
    <t>patrick.kimari@gmail.com</t>
  </si>
  <si>
    <t>Sandr</t>
  </si>
  <si>
    <t>Andrei</t>
  </si>
  <si>
    <t>spb.andreo@yandex.ru</t>
  </si>
  <si>
    <t>Klea</t>
  </si>
  <si>
    <t>DichiBerlin</t>
  </si>
  <si>
    <t>Berlin</t>
  </si>
  <si>
    <t>Wagener</t>
  </si>
  <si>
    <t>andreas0305@googlemail.com</t>
  </si>
  <si>
    <t>justinlca</t>
  </si>
  <si>
    <t>jdlca3@gmail.com</t>
  </si>
  <si>
    <t>Justin</t>
  </si>
  <si>
    <t xml:space="preserve">Santa Monica, CA </t>
  </si>
  <si>
    <t>Freesurfer</t>
  </si>
  <si>
    <t>Sabine</t>
  </si>
  <si>
    <t>s.brinkmann2@gmx.de</t>
  </si>
  <si>
    <t>H2O</t>
  </si>
  <si>
    <t>Mehmet</t>
  </si>
  <si>
    <t>Acet</t>
  </si>
  <si>
    <t>mehmet.acet@uni-due.de</t>
  </si>
  <si>
    <t>Duisburg</t>
  </si>
  <si>
    <t>Walter</t>
  </si>
  <si>
    <t>wjg@wgraml.de</t>
  </si>
  <si>
    <t>wjg58</t>
  </si>
  <si>
    <t>Rudelzhausen / D</t>
  </si>
  <si>
    <t>matte.macchiato</t>
  </si>
  <si>
    <t>matte</t>
  </si>
  <si>
    <t>berlin</t>
  </si>
  <si>
    <t>XR753</t>
  </si>
  <si>
    <t>Chris</t>
  </si>
  <si>
    <t xml:space="preserve">The City of Angels </t>
  </si>
  <si>
    <t>chris@thunix.net</t>
  </si>
  <si>
    <t>Bruno</t>
  </si>
  <si>
    <t>Brunello</t>
  </si>
  <si>
    <t>bruno.kuersteiner@gmx.ch</t>
  </si>
  <si>
    <t>Richie</t>
  </si>
  <si>
    <t>Richie.Adams</t>
  </si>
  <si>
    <t>Richard.Adams@jhuapl.edu</t>
  </si>
  <si>
    <t>Columbia / USA</t>
  </si>
  <si>
    <t>Allan Christensen</t>
  </si>
  <si>
    <t>Rasp</t>
  </si>
  <si>
    <t>allanc14405@gmail.com</t>
  </si>
  <si>
    <t>Kopenhagen / Dänemark</t>
  </si>
  <si>
    <t>Will</t>
  </si>
  <si>
    <t>Audaxity</t>
  </si>
  <si>
    <t>william.b.slade@gmail.com</t>
  </si>
  <si>
    <t>Minnesota / USA</t>
  </si>
  <si>
    <t>William</t>
  </si>
  <si>
    <t>william_spiers@btinternet.com</t>
  </si>
  <si>
    <t>City ? / Schottland</t>
  </si>
  <si>
    <t>JuliaH</t>
  </si>
  <si>
    <t>julia.hayward@btconnect.com</t>
  </si>
  <si>
    <t>Saint Neots / England</t>
  </si>
  <si>
    <t>69sandman@libero.it</t>
  </si>
  <si>
    <t>Mailand / Italien</t>
  </si>
  <si>
    <t>Marc</t>
  </si>
  <si>
    <t>Ankou</t>
  </si>
  <si>
    <t>madmarc72@gmail.com</t>
  </si>
  <si>
    <t>Straßburg / Frankreich</t>
  </si>
  <si>
    <t>First name</t>
  </si>
  <si>
    <t>Family name</t>
  </si>
  <si>
    <t>Group</t>
  </si>
  <si>
    <t>Comment</t>
  </si>
  <si>
    <t>Kaumijau</t>
  </si>
  <si>
    <t>Wassenberg, Germany</t>
  </si>
  <si>
    <t>kaumijau@web.de</t>
  </si>
  <si>
    <t>pentax</t>
  </si>
  <si>
    <t>hcc1670</t>
  </si>
  <si>
    <t>paul11</t>
  </si>
  <si>
    <t>pdielissen@ziggo.nl</t>
  </si>
  <si>
    <t>MauiJOY</t>
  </si>
  <si>
    <t>hentea</t>
  </si>
  <si>
    <t>JHD</t>
  </si>
  <si>
    <t xml:space="preserve">Burton on Trent, England </t>
  </si>
  <si>
    <t xml:space="preserve">Bremen Deutschland </t>
  </si>
  <si>
    <t>SGE2019</t>
  </si>
  <si>
    <t>Gernot</t>
  </si>
  <si>
    <t>Steinheimer</t>
  </si>
  <si>
    <t>Mainflingen</t>
  </si>
  <si>
    <t>gsteinheimer@yahoo.de</t>
  </si>
  <si>
    <t>DrummieMilo</t>
  </si>
  <si>
    <t>Milo</t>
  </si>
  <si>
    <t>Brighton England</t>
  </si>
  <si>
    <t>Thomas</t>
  </si>
  <si>
    <t>Kosak</t>
  </si>
  <si>
    <t>1a</t>
  </si>
  <si>
    <t>2a</t>
  </si>
  <si>
    <t>Carmelo</t>
  </si>
  <si>
    <t>Corica</t>
  </si>
  <si>
    <t>3a</t>
  </si>
  <si>
    <t>EU-BNL-Carol</t>
  </si>
  <si>
    <t>c.lems@consultimex.com</t>
  </si>
  <si>
    <t xml:space="preserve">Maastricht, The Netherlands </t>
  </si>
  <si>
    <t>Brinkmann</t>
  </si>
  <si>
    <t>arkhimedes314@gmail.com</t>
  </si>
  <si>
    <t>Caroline</t>
  </si>
  <si>
    <t>Paul*KD*</t>
  </si>
  <si>
    <t>Sittard / Niederlande</t>
  </si>
  <si>
    <t>Marius</t>
  </si>
  <si>
    <t>mhentea@hotmail.com</t>
  </si>
  <si>
    <t>Rumänien</t>
  </si>
  <si>
    <t>Teri</t>
  </si>
  <si>
    <t>mauijoy@gmail.com</t>
  </si>
  <si>
    <t>Maui / Hawaii / USA</t>
  </si>
  <si>
    <t>christian.haenssel@kabelmail.de</t>
  </si>
  <si>
    <t>Bexbach / D</t>
  </si>
  <si>
    <t>tberki77@gmail.com</t>
  </si>
  <si>
    <t>Email</t>
  </si>
  <si>
    <t>matte.macchiato@gmail.com</t>
  </si>
  <si>
    <t>Admin</t>
  </si>
  <si>
    <t>GoBroncos</t>
  </si>
  <si>
    <t>andersm</t>
  </si>
  <si>
    <t>swrigley</t>
  </si>
  <si>
    <t>CovGamSirius</t>
  </si>
  <si>
    <t>LeMatelot</t>
  </si>
  <si>
    <t>Cafeplayer</t>
  </si>
  <si>
    <t xml:space="preserve">Colorado / USA </t>
  </si>
  <si>
    <t xml:space="preserve">Norway </t>
  </si>
  <si>
    <t>Anders</t>
  </si>
  <si>
    <t>Marstrander</t>
  </si>
  <si>
    <t xml:space="preserve">Cambridge New Zealand </t>
  </si>
  <si>
    <t>Eric</t>
  </si>
  <si>
    <t>Westbrook</t>
  </si>
  <si>
    <t>ericwestbrook@btinternet.com</t>
  </si>
  <si>
    <t>Coventry</t>
  </si>
  <si>
    <t>France</t>
  </si>
  <si>
    <t>Alex H</t>
  </si>
  <si>
    <t>alexh307@gmail.com</t>
  </si>
  <si>
    <t>Vienna, Austria</t>
  </si>
  <si>
    <t>Alexander</t>
  </si>
  <si>
    <t>Patrik.Vanheyden@gmx.de</t>
  </si>
  <si>
    <t>Patrik</t>
  </si>
  <si>
    <t>Vanheyden</t>
  </si>
  <si>
    <t>Moderator</t>
  </si>
  <si>
    <t>marstrander.anders@gmail.com</t>
  </si>
  <si>
    <t>Hermann</t>
  </si>
  <si>
    <t>hermann.frei@outlook.fr</t>
  </si>
  <si>
    <t>Frei</t>
  </si>
  <si>
    <t>Left</t>
  </si>
  <si>
    <t>Beyazit</t>
  </si>
  <si>
    <t>beyazit</t>
  </si>
  <si>
    <t>tochev71</t>
  </si>
  <si>
    <t>seastones</t>
  </si>
  <si>
    <t>sudowe</t>
  </si>
  <si>
    <t>mdsolutions</t>
  </si>
  <si>
    <t>Beldarren</t>
  </si>
  <si>
    <t>star62</t>
  </si>
  <si>
    <t>tochev71@abv.bg</t>
  </si>
  <si>
    <t>Bulgaria</t>
  </si>
  <si>
    <t>Ivan</t>
  </si>
  <si>
    <t>Tochev</t>
  </si>
  <si>
    <t>Sudowe</t>
  </si>
  <si>
    <t>seastones9@comcast.net</t>
  </si>
  <si>
    <t>POBox 1394/Middletown, CT 06457/USA</t>
  </si>
  <si>
    <t>nahas</t>
  </si>
  <si>
    <t>Long Beach, California</t>
  </si>
  <si>
    <t>Dirk</t>
  </si>
  <si>
    <t>Moers, Germany</t>
  </si>
  <si>
    <t>Backgammon in Moers -&gt; Discord https://discord.gg/EcxMXkt</t>
  </si>
  <si>
    <t>Darren</t>
  </si>
  <si>
    <t>Backhouse</t>
  </si>
  <si>
    <t>Australia</t>
  </si>
  <si>
    <t>beldarren@ozemail.com.au</t>
  </si>
  <si>
    <t>Stefano</t>
  </si>
  <si>
    <t>Roma - Itay</t>
  </si>
  <si>
    <t>stefanostella@libero.it</t>
  </si>
  <si>
    <t>2nd E-Mail</t>
  </si>
  <si>
    <t>oldehippy@gmail.com</t>
  </si>
  <si>
    <t>heidi_b@posteo.de</t>
  </si>
  <si>
    <t>redfly@iafrica.com</t>
  </si>
  <si>
    <t>flicker@iafrica.com</t>
  </si>
  <si>
    <t>arkhimedes@dbmail.com</t>
  </si>
  <si>
    <t>Player-ID</t>
  </si>
  <si>
    <t>thomaskosak@gmx.de</t>
  </si>
  <si>
    <t>bdemiraglar@web.de</t>
  </si>
  <si>
    <t>d.sudowe@googlemail.com</t>
  </si>
  <si>
    <t>milofell@hotmail.com</t>
  </si>
  <si>
    <t>jhdoughty180@gmail.com</t>
  </si>
  <si>
    <t>sandusky@mds.tech</t>
  </si>
  <si>
    <t>Matthew</t>
  </si>
  <si>
    <t xml:space="preserve">Sandusky </t>
  </si>
  <si>
    <t>(562) 972-8939</t>
  </si>
  <si>
    <t>wrigley@xtra.co.nz</t>
  </si>
  <si>
    <t>karlvonr@gmail.com</t>
  </si>
  <si>
    <t>Sue</t>
  </si>
  <si>
    <t>walter@graml.de</t>
  </si>
  <si>
    <t>c.hassenjuergen@t-online.de</t>
  </si>
  <si>
    <t>arkhimedes</t>
  </si>
  <si>
    <t>Invitation prefix</t>
  </si>
  <si>
    <t>link name</t>
  </si>
  <si>
    <t>link</t>
  </si>
  <si>
    <t>carol.griffsonline@gmail.com</t>
  </si>
  <si>
    <t>contact via abra</t>
  </si>
  <si>
    <t>cornishgal</t>
  </si>
  <si>
    <t>Carol</t>
  </si>
  <si>
    <t>Wadebridge, Cornwall, UK</t>
  </si>
  <si>
    <t>nice link</t>
  </si>
  <si>
    <t>info@coolsuit.de</t>
  </si>
  <si>
    <t>Colonia Claudia Ara Agrippinensium</t>
  </si>
  <si>
    <t>promotion 1
relegation -1
remain 0</t>
  </si>
  <si>
    <t>Finished</t>
  </si>
  <si>
    <t>Uforobban</t>
  </si>
  <si>
    <t>uforobban@hotmail.com</t>
  </si>
  <si>
    <t>friend of silvercilla</t>
  </si>
  <si>
    <t>Karlsson</t>
  </si>
  <si>
    <t>Uppsala (Sweden)</t>
  </si>
  <si>
    <t>Sakhalin</t>
  </si>
  <si>
    <t>Konstantin</t>
  </si>
  <si>
    <t>Kino-1975@yandex.ru</t>
  </si>
  <si>
    <t>invited by Sandr</t>
  </si>
  <si>
    <t>checker</t>
  </si>
  <si>
    <t>Marion</t>
  </si>
  <si>
    <t>Hamburger Ecke</t>
  </si>
  <si>
    <t>neptun</t>
  </si>
  <si>
    <t>Berg</t>
  </si>
  <si>
    <t xml:space="preserve">Cologne, Germany </t>
  </si>
  <si>
    <t>pberg.cgn@gmail.com</t>
  </si>
  <si>
    <t>argon.add@web.de</t>
  </si>
  <si>
    <t>fokker</t>
  </si>
  <si>
    <t>edwin@mycronet.de</t>
  </si>
  <si>
    <t>18LU13</t>
  </si>
  <si>
    <t>Edwin</t>
  </si>
  <si>
    <t xml:space="preserve">München, GER </t>
  </si>
  <si>
    <t>chat contact at dailygammon</t>
  </si>
  <si>
    <t>Alternative DG-Nick: Ignore Me</t>
  </si>
  <si>
    <t>lone-wolf@posteo.de</t>
  </si>
  <si>
    <t>anjk</t>
  </si>
  <si>
    <t>Timothydcrawford2012@gmail.com</t>
  </si>
  <si>
    <t>Timothyd</t>
  </si>
  <si>
    <t>Crawford</t>
  </si>
  <si>
    <t>thomas.7594@gmail.com</t>
  </si>
  <si>
    <t>arnaud.pinel@free.fr</t>
  </si>
  <si>
    <t>API</t>
  </si>
  <si>
    <t>Arnaud</t>
  </si>
  <si>
    <t>Paris</t>
  </si>
  <si>
    <t>geeimatree</t>
  </si>
  <si>
    <t>PAUL M</t>
  </si>
  <si>
    <t>RICHTER</t>
  </si>
  <si>
    <t>los angeles,ca</t>
  </si>
  <si>
    <t>paul_richter1@yahoo.com</t>
  </si>
  <si>
    <t>LucasD</t>
  </si>
  <si>
    <t>Lucas</t>
  </si>
  <si>
    <t>ldreyfus@ldf-avocats.fr</t>
  </si>
  <si>
    <t>uty</t>
  </si>
  <si>
    <t>Southwest Germany</t>
  </si>
  <si>
    <t>Holland</t>
  </si>
  <si>
    <t>Joost</t>
  </si>
  <si>
    <t>Klaus Schicks</t>
  </si>
  <si>
    <t>Schicks</t>
  </si>
  <si>
    <t>Deutschland</t>
  </si>
  <si>
    <t>Dustin</t>
  </si>
  <si>
    <t>Canada, BC</t>
  </si>
  <si>
    <t>Ark737</t>
  </si>
  <si>
    <t>arkeller@optonline.net</t>
  </si>
  <si>
    <t>joost.suasso@gmail.com</t>
  </si>
  <si>
    <t>backgammon@mailbox.org</t>
  </si>
  <si>
    <t>panbg2</t>
  </si>
  <si>
    <t>Karl</t>
  </si>
  <si>
    <t xml:space="preserve"> A E</t>
  </si>
  <si>
    <t>von Rosenberg</t>
  </si>
  <si>
    <t>snoopaggieag</t>
  </si>
  <si>
    <t xml:space="preserve">La Grange, TX </t>
  </si>
  <si>
    <t>email asked via dg</t>
  </si>
  <si>
    <t>nick still tbd</t>
  </si>
  <si>
    <t>SnoopAggieAg@yahoo.com</t>
  </si>
  <si>
    <t>The.OpTimizer</t>
  </si>
  <si>
    <t>dustinramsbottom@gmail.com</t>
  </si>
  <si>
    <t>goofie</t>
  </si>
  <si>
    <t>druesenhieb@gmail.com</t>
  </si>
  <si>
    <t>vienna</t>
  </si>
  <si>
    <t>Sascha</t>
  </si>
  <si>
    <t>Neudeck</t>
  </si>
  <si>
    <t>http://www.sascha-neudeck.com/</t>
  </si>
  <si>
    <t>yopplat</t>
  </si>
  <si>
    <t xml:space="preserve">Claude </t>
  </si>
  <si>
    <t>Hazemann</t>
  </si>
  <si>
    <t>double4@neuf.fr</t>
  </si>
  <si>
    <t>Bourg Saint Andeol Ardeche FRANCE</t>
  </si>
  <si>
    <t>egis</t>
  </si>
  <si>
    <t>boce@yandex.ru</t>
  </si>
  <si>
    <t>Andrew</t>
  </si>
  <si>
    <t>Polochkin</t>
  </si>
  <si>
    <t>Moscow, Russia</t>
  </si>
  <si>
    <t>vincbt</t>
  </si>
  <si>
    <t>Pau area, South-West France</t>
  </si>
  <si>
    <t>Vincent</t>
  </si>
  <si>
    <t>alf4ad@gmail.com</t>
  </si>
  <si>
    <t>egistas@yahoo.com</t>
  </si>
  <si>
    <t>robbob</t>
  </si>
  <si>
    <t>robbob103@gmail.com</t>
  </si>
  <si>
    <t>Essex, UK</t>
  </si>
  <si>
    <t>4a</t>
  </si>
  <si>
    <t>4b</t>
  </si>
  <si>
    <t>5a</t>
  </si>
  <si>
    <t>5b</t>
  </si>
  <si>
    <t>5d</t>
  </si>
  <si>
    <t>5c</t>
  </si>
  <si>
    <t>6a</t>
  </si>
  <si>
    <t>6b</t>
  </si>
  <si>
    <t>6c</t>
  </si>
  <si>
    <t>6d</t>
  </si>
  <si>
    <t>sb101</t>
  </si>
  <si>
    <t>Puerto Vallarta, Mexico</t>
  </si>
  <si>
    <t>sbland@runbox.com</t>
  </si>
  <si>
    <t>Bonnet</t>
  </si>
  <si>
    <t>FUZZYCHECKER</t>
  </si>
  <si>
    <t>Jon</t>
  </si>
  <si>
    <t>Maryland, USA</t>
  </si>
  <si>
    <t>coach.jbd@gmail.com</t>
  </si>
  <si>
    <t>NoddyGammon</t>
  </si>
  <si>
    <t>manx.moores@gmail.com</t>
  </si>
  <si>
    <t>Colin</t>
  </si>
  <si>
    <t>Moore</t>
  </si>
  <si>
    <t>global Discord-Nick AJK</t>
  </si>
  <si>
    <t>Fuller</t>
  </si>
  <si>
    <t>69Sandman</t>
  </si>
  <si>
    <t>Jeremy</t>
  </si>
  <si>
    <t>Maryland</t>
  </si>
  <si>
    <t>Primigenius</t>
  </si>
  <si>
    <t>Pendragon</t>
  </si>
  <si>
    <t>Edward</t>
  </si>
  <si>
    <t xml:space="preserve">West Virginia / GMT -5hrs </t>
  </si>
  <si>
    <t>Liamleech1</t>
  </si>
  <si>
    <t>Liam Leech</t>
  </si>
  <si>
    <t>Ireland</t>
  </si>
  <si>
    <t>liamleech1@gmail.com</t>
  </si>
  <si>
    <t>WhatYes</t>
  </si>
  <si>
    <t>Scott</t>
  </si>
  <si>
    <t xml:space="preserve">Colorado USA </t>
  </si>
  <si>
    <t>Ganieda</t>
  </si>
  <si>
    <t>Karen</t>
  </si>
  <si>
    <t>ganieda1012@gmail.com</t>
  </si>
  <si>
    <t>Captain Jack Sparrow</t>
  </si>
  <si>
    <t>Deana</t>
  </si>
  <si>
    <t>deanafawcett@btopenworld.com</t>
  </si>
  <si>
    <t>Hoodie</t>
  </si>
  <si>
    <t>Rating 1595.01</t>
  </si>
  <si>
    <t>madwriter29@gmail.com</t>
  </si>
  <si>
    <t>jerbear29</t>
  </si>
  <si>
    <t>Rating 1589.37</t>
  </si>
  <si>
    <t>Rating 2021.59</t>
  </si>
  <si>
    <t>Rating 1620.3</t>
  </si>
  <si>
    <t>match-name (column A) with masked blanks</t>
  </si>
  <si>
    <t>R</t>
  </si>
  <si>
    <t>Q</t>
  </si>
  <si>
    <t>P</t>
  </si>
  <si>
    <t>O</t>
  </si>
  <si>
    <t>N</t>
  </si>
  <si>
    <t>M</t>
  </si>
  <si>
    <t>L</t>
  </si>
  <si>
    <t>K</t>
  </si>
  <si>
    <t>J</t>
  </si>
  <si>
    <t>Family name   </t>
  </si>
  <si>
    <t>I</t>
  </si>
  <si>
    <t>First name   </t>
  </si>
  <si>
    <t>H</t>
  </si>
  <si>
    <t>Player-ID   </t>
  </si>
  <si>
    <t>G</t>
  </si>
  <si>
    <t>F</t>
  </si>
  <si>
    <t>E</t>
  </si>
  <si>
    <t>D</t>
  </si>
  <si>
    <t>promotion 1 /  relegation -1 / remain 0</t>
  </si>
  <si>
    <t>C</t>
  </si>
  <si>
    <t>B</t>
  </si>
  <si>
    <t>A</t>
  </si>
  <si>
    <t>Bemerkung</t>
  </si>
  <si>
    <t>Überschrift</t>
  </si>
  <si>
    <t>Spalte</t>
  </si>
  <si>
    <t>Formel: Gruppe der 19. Saison, falls nicht ausgeschieden (Spalte D = x) und weder relegiert noch promoted (Spalte C) - "decide" wird bei Auf-/Abstiege oder neuen Spielern angezeigt</t>
  </si>
  <si>
    <t>Freitext: Kennzeichnet Auf-/Abstieg oder Verbleib in der Gruppe (s.a. Spalte A)</t>
  </si>
  <si>
    <t>Freitext: "x" Kennzeichnet Spieler, die nicht mehr mitspielen wollen</t>
  </si>
  <si>
    <t>Freitext: "x" Kennzeichnet Spieler, die alle Matches der aktuellen Sasion beendet haben</t>
  </si>
  <si>
    <t>Freitext: Spieler-Name bei DG und enthält Link auf sein Profil</t>
  </si>
  <si>
    <t>Freitext: Player-Id bei DG und enthält Link auf sein Profil</t>
  </si>
  <si>
    <t>Freitext: Vorname</t>
  </si>
  <si>
    <t>Freitext: Nachname</t>
  </si>
  <si>
    <t>Freitext: E-Mail</t>
  </si>
  <si>
    <t>Freitext: 2. E-Mail</t>
  </si>
  <si>
    <t>Freitext: i.d.R. dem Profil entnommen</t>
  </si>
  <si>
    <t>Freitext: Bemerkungsfeld</t>
  </si>
  <si>
    <r>
      <t xml:space="preserve">Konstante: Basis-Url für Einladungslinks. </t>
    </r>
    <r>
      <rPr>
        <sz val="11"/>
        <color rgb="FFFF0000"/>
        <rFont val="Calibri"/>
        <family val="2"/>
        <scheme val="minor"/>
      </rPr>
      <t>Vorsicht: Länge, Time-Control und Spiel-Variante sind hier schon fest für das reguläre Turnier verdrahtet - muss für andere Spielformate angepasst werden.</t>
    </r>
  </si>
  <si>
    <r>
      <t xml:space="preserve">Formel: Matchname. </t>
    </r>
    <r>
      <rPr>
        <sz val="11"/>
        <color rgb="FFFF0000"/>
        <rFont val="Calibri"/>
        <family val="2"/>
        <scheme val="minor"/>
      </rPr>
      <t>Vorsicht: Wird aus Spalte A gebildet und Leerzeichen werden durch %20 ersetzt, um eine gültige Url zu bilden - muss für andere Spielnamen angepasste werden.</t>
    </r>
  </si>
  <si>
    <t>Formel: Name des Links ("Invite" + DG-Nick)</t>
  </si>
  <si>
    <t>Formel: Vollständiger Link</t>
  </si>
  <si>
    <t>Formel: Vollständiger Link als Hyperlink mit link name als Bezeichnung - Das ist der Wert, den ich in die Google Charts poste.</t>
  </si>
  <si>
    <t>Steven</t>
  </si>
  <si>
    <t>variant</t>
  </si>
  <si>
    <t>length</t>
  </si>
  <si>
    <t>time control</t>
  </si>
  <si>
    <t>Sent a pm announcing to leave Apr. 19th</t>
  </si>
  <si>
    <t>Esmir</t>
  </si>
  <si>
    <t>nixo</t>
  </si>
  <si>
    <t>Sportsfreund</t>
  </si>
  <si>
    <t>noundog</t>
  </si>
  <si>
    <t>yone</t>
  </si>
  <si>
    <t>Greg</t>
  </si>
  <si>
    <t>xsive.greg@gmail.com</t>
  </si>
  <si>
    <t>The Beautiful Northwoods of Wisconsin</t>
  </si>
  <si>
    <t>Rating 1751.27</t>
  </si>
  <si>
    <t>Germany</t>
  </si>
  <si>
    <t>Rating 2064.14</t>
  </si>
  <si>
    <t>Rating 2084.61</t>
  </si>
  <si>
    <t>Nicolas</t>
  </si>
  <si>
    <t>Anglet, Basque Country, France</t>
  </si>
  <si>
    <t>Finland</t>
  </si>
  <si>
    <t>Rating 1957.91</t>
  </si>
  <si>
    <t>Ashburnham, Massachusetts USA</t>
  </si>
  <si>
    <t>Douglas</t>
  </si>
  <si>
    <t>guggins93@hotmail.com</t>
  </si>
  <si>
    <t>Rating 1978.44</t>
  </si>
  <si>
    <t>r.haslauer@web.de</t>
  </si>
  <si>
    <t>edchessman@gmail.com</t>
  </si>
  <si>
    <t>hoodiehood@hotmail.com</t>
  </si>
  <si>
    <t>Rating 1927.61</t>
  </si>
  <si>
    <t>Rating 1574.48</t>
  </si>
  <si>
    <t>Rating 1326.56</t>
  </si>
  <si>
    <t>nixo_r@yahoo.fr</t>
  </si>
  <si>
    <t>current season</t>
  </si>
  <si>
    <t>@echo off</t>
  </si>
  <si>
    <t>Login at Dailygammon</t>
  </si>
  <si>
    <t>login link</t>
  </si>
  <si>
    <t>current group</t>
  </si>
  <si>
    <t>next group</t>
  </si>
  <si>
    <t>match-name (column A)
with masked blanks</t>
  </si>
  <si>
    <t>S</t>
  </si>
  <si>
    <t>Freitext: Gruppe der laufenden Saison, bzw.Kennzeichnung als neuer Spieler oder sonstiges</t>
  </si>
  <si>
    <t>Freitext: Nummer der laufenden Saison</t>
  </si>
  <si>
    <t>Greathumics</t>
  </si>
  <si>
    <t>Frank.von.willert@gmail.com</t>
  </si>
  <si>
    <t>von Willert</t>
  </si>
  <si>
    <t>Rating 1941.76</t>
  </si>
  <si>
    <t>next season</t>
  </si>
  <si>
    <t>lucylucy</t>
  </si>
  <si>
    <t>Lucyfriedman@hotmail.com</t>
  </si>
  <si>
    <t>cancer since 17th ==&gt; no red card</t>
  </si>
  <si>
    <t>ut@tecknet.de</t>
  </si>
  <si>
    <t>Förster</t>
  </si>
  <si>
    <t>fritten</t>
  </si>
  <si>
    <t>jule@mailbox.org</t>
  </si>
  <si>
    <t>Jule</t>
  </si>
  <si>
    <t>Bremen</t>
  </si>
  <si>
    <t>WhiteWolf</t>
  </si>
  <si>
    <t>jcfuhrmann</t>
  </si>
  <si>
    <t>nsprtn</t>
  </si>
  <si>
    <t>I4one</t>
  </si>
  <si>
    <t>Rating 2082.86</t>
  </si>
  <si>
    <t>Rating 1560.61</t>
  </si>
  <si>
    <t>Ich4one@gmail.com</t>
  </si>
  <si>
    <t>Rating 1807.99</t>
  </si>
  <si>
    <t>jcfuhrmann@comcast.net</t>
  </si>
  <si>
    <t>Rating 1846.5</t>
  </si>
  <si>
    <t>Rating 1479.59</t>
  </si>
  <si>
    <t>Rating 1501.76</t>
  </si>
  <si>
    <t>hhooppee</t>
  </si>
  <si>
    <t>hope</t>
  </si>
  <si>
    <t>snowdonia north Wales</t>
  </si>
  <si>
    <t>Rating 1863.93</t>
  </si>
  <si>
    <t>LuckyDog</t>
  </si>
  <si>
    <t>ilbcnu@dailygammon.com</t>
  </si>
  <si>
    <t>Mike</t>
  </si>
  <si>
    <t>New Hampshire, USA</t>
  </si>
  <si>
    <t>Rating 1775.95</t>
  </si>
  <si>
    <t>Remarks</t>
  </si>
  <si>
    <t>Caretaker</t>
  </si>
  <si>
    <t>coloman</t>
  </si>
  <si>
    <t>feuillesmortes</t>
  </si>
  <si>
    <t>Budapest / Zug</t>
  </si>
  <si>
    <t>Rating 1843.27</t>
  </si>
  <si>
    <t>kvcs_jzsf@yahoo.co.uk</t>
  </si>
  <si>
    <t>Mattias Roos</t>
  </si>
  <si>
    <t>Mattias</t>
  </si>
  <si>
    <t>Roos</t>
  </si>
  <si>
    <t>mattiasalm@hotmail.com</t>
  </si>
  <si>
    <t>Rating 2121.32</t>
  </si>
  <si>
    <t>Joel</t>
  </si>
  <si>
    <t>Jacksonville FL</t>
  </si>
  <si>
    <t>20th</t>
  </si>
  <si>
    <t>19th</t>
  </si>
  <si>
    <t>Martinbr</t>
  </si>
  <si>
    <t>Brueggemeier</t>
  </si>
  <si>
    <t>m.brueggemeier@posteo.de</t>
  </si>
  <si>
    <t>Ahaus, Germany</t>
  </si>
  <si>
    <t>Location for discord</t>
  </si>
  <si>
    <t>Elke, Deutschland, Mülheim/Ruhr</t>
  </si>
  <si>
    <t>++2yellow4u++Mikel++Germany++Memmingen++</t>
  </si>
  <si>
    <t>EU-BNL-Carol++Caroline++The Netherlands++Maastricht</t>
  </si>
  <si>
    <t>Hansjoerg (with Umlaut, but can't write it on my keyboard ...), Switzerland, Berne</t>
  </si>
  <si>
    <t>Sascha - Vienna - Austria</t>
  </si>
  <si>
    <t>API - Arnaud - France - Sceaux (near Paris)</t>
  </si>
  <si>
    <t>SGE2019-Gernot-Germany Mainflingen in the near of Hanau.</t>
  </si>
  <si>
    <t>Brand</t>
  </si>
  <si>
    <t>Max (Massimo)</t>
  </si>
  <si>
    <t xml:space="preserve">Maryland suburb just outside Baltimore, USA </t>
  </si>
  <si>
    <t>Sheldon</t>
  </si>
  <si>
    <t>magic one</t>
  </si>
  <si>
    <t>richter4519716@gmail.com</t>
  </si>
  <si>
    <t>Invitations</t>
  </si>
  <si>
    <t>darkhelmet</t>
  </si>
  <si>
    <t>Heidelberg, Germany</t>
  </si>
  <si>
    <t>agsteiner@mailbox.org</t>
  </si>
  <si>
    <t>Karlheinz</t>
  </si>
  <si>
    <t>league 1
- 10 players
- 1 Winner
- 4 move down</t>
  </si>
  <si>
    <t>league 2a
- 10 players
- 2 move up
- 3 move down</t>
  </si>
  <si>
    <t>league 2b
- 10 players
- 2 move up
- 3 move down</t>
  </si>
  <si>
    <t>league 3a
- 10 players
- 2 move up
- 4 move down</t>
  </si>
  <si>
    <t>league 3b
- 10 players
- 2 move up
- 4 move down</t>
  </si>
  <si>
    <t>league  3c
- 10 players
- 2 move up
- 4 move down</t>
  </si>
  <si>
    <t>league 4a
- 10 players
- 3 move up
- 3 move down</t>
  </si>
  <si>
    <t>league 4d
- 10 players
- 3 move up
- 3 move down</t>
  </si>
  <si>
    <t>league 4c
- 10 players
- 3 move up
- 3 move down</t>
  </si>
  <si>
    <t>league 4b
- 10 players
- 3 move up
- 3 move down</t>
  </si>
  <si>
    <t>max players:</t>
  </si>
  <si>
    <t>league 5d
- max 10 players
- 3 move up
- x move down</t>
  </si>
  <si>
    <t>phone</t>
  </si>
  <si>
    <t>0176 84204472</t>
  </si>
  <si>
    <t>Rating 1878.14, doesn't play often enough to join</t>
  </si>
  <si>
    <t>steven.nahas@gmail.com</t>
  </si>
  <si>
    <r>
      <t xml:space="preserve">league 5a
- max 10 players
- 4 / </t>
    </r>
    <r>
      <rPr>
        <sz val="11"/>
        <color theme="5" tint="-0.249977111117893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move up
- x move down</t>
    </r>
  </si>
  <si>
    <r>
      <t xml:space="preserve">league 5b
- max 10 players
- 4 / </t>
    </r>
    <r>
      <rPr>
        <sz val="11"/>
        <color theme="5" tint="-0.249977111117893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move up
- x move down</t>
    </r>
  </si>
  <si>
    <r>
      <t xml:space="preserve">league 5c
- max 10 players
- 4 / </t>
    </r>
    <r>
      <rPr>
        <sz val="11"/>
        <color theme="5" tint="-0.249977111117893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move up
- x move down</t>
    </r>
  </si>
  <si>
    <t>No. of Players</t>
  </si>
  <si>
    <t>Andy</t>
  </si>
  <si>
    <t>Zenswang</t>
  </si>
  <si>
    <t>qswanger@gmail.com</t>
  </si>
  <si>
    <t>Raleigh (Holly Springs), North Carolina in the United States</t>
  </si>
  <si>
    <t>paulcaesar@gmail.com</t>
  </si>
  <si>
    <t>Paul</t>
  </si>
  <si>
    <t>Jayden</t>
  </si>
  <si>
    <t>Regina Saskatchewan</t>
  </si>
  <si>
    <t>Rating 1348.01</t>
  </si>
  <si>
    <t>Rating 2126.97</t>
  </si>
  <si>
    <t>Rating 1907.83</t>
  </si>
  <si>
    <t>Rating 1909.13</t>
  </si>
  <si>
    <t>confirmed via mail</t>
  </si>
  <si>
    <t>2b</t>
  </si>
  <si>
    <t>3b</t>
  </si>
  <si>
    <t>3c</t>
  </si>
  <si>
    <t>4c</t>
  </si>
  <si>
    <t>4d</t>
  </si>
  <si>
    <t>S4R4</t>
  </si>
  <si>
    <t>Sara</t>
  </si>
  <si>
    <t>sarazarembski@icloud.com</t>
  </si>
  <si>
    <t>new</t>
  </si>
  <si>
    <t>Adrian</t>
  </si>
  <si>
    <t>Serkan</t>
  </si>
  <si>
    <t>kicked out cause she didn't react</t>
  </si>
  <si>
    <t>21st season</t>
  </si>
  <si>
    <t>Paclab2@gmail.Com</t>
  </si>
  <si>
    <t>Paul A</t>
  </si>
  <si>
    <t>22nd season</t>
  </si>
  <si>
    <t>https://docs.google.com/document/d/15f67oNF5dOSanGycuwtIlAYcPkkZ7CTOv6vjYp5wmKw/edit?usp=sharing</t>
  </si>
  <si>
    <t>https://docs.google.com/document/d/1wF_hL8eKnN9LUsQ2K5jxzmCLDF_se6C7IkjzCDJs49Q/edit?usp=sharing</t>
  </si>
  <si>
    <t>https://docs.google.com/document/d/1hG1Rc2r7Gby__zCoWcEbDgdynajTG2XBhRnLSiaeI4M/edit?usp=sharing</t>
  </si>
  <si>
    <t>https://docs.google.com/document/d/1gRO2ppOTMAxEMPF25pkHyOdvkIa9at6rlUZlvQCItAg/edit?usp=sharing</t>
  </si>
  <si>
    <t>https://docs.google.com/document/d/1NvBOZWTO6DPDuGoxbczcO6F-JU6MOXtyMa3qwyto9dM/edit?usp=sharing</t>
  </si>
  <si>
    <t>https://docs.google.com/document/d/1NS62TCWSHT4yrxkVm8rRMvS8Gx-B7lN2C02EQi9tRHg/edit?usp=sharing</t>
  </si>
  <si>
    <t>https://docs.google.com/document/d/19XIQGoCCqjucvW26yMS2-5E0wkwTjS4NNGbKpRENELs/edit?usp=sharing</t>
  </si>
  <si>
    <t>https://docs.google.com/document/d/1J2R9-Y0-BjmETzhcS1xiaqj75xNBTWtAPB4mo2PXEbg/edit?usp=sharing</t>
  </si>
  <si>
    <t>https://docs.google.com/document/d/1360BrrE-9e0gaGZLk02IGnwLcK1k_0U71u1tos7BtK0/edit?usp=sharing</t>
  </si>
  <si>
    <t>https://docs.google.com/document/d/1BYk1IEMcSyYIAyi8mYPhFM1U6VxbZDnpRnmYaZcedzM/edit?usp=sharing</t>
  </si>
  <si>
    <t>GoogleDoc with invitation-links</t>
  </si>
  <si>
    <t>Sherrow</t>
  </si>
  <si>
    <t>Caracciolo</t>
  </si>
  <si>
    <t>introduced by noundog</t>
  </si>
  <si>
    <t>MadMarc</t>
  </si>
  <si>
    <t>Hendry</t>
  </si>
  <si>
    <t>Schick</t>
  </si>
  <si>
    <t>markus_schick@gmx.net</t>
  </si>
  <si>
    <t xml:space="preserve">Würzburg, Germany </t>
  </si>
  <si>
    <t>maxstock</t>
  </si>
  <si>
    <t>Max</t>
  </si>
  <si>
    <t xml:space="preserve">Stockslager </t>
  </si>
  <si>
    <t>too busy to play</t>
  </si>
  <si>
    <t>Rating 1642.77 (empfehlung von Ark737)</t>
  </si>
  <si>
    <t>Rating 1896.54</t>
  </si>
  <si>
    <t>cube</t>
  </si>
  <si>
    <t>23rd season</t>
  </si>
  <si>
    <t>max.stockslager@gmail.com</t>
  </si>
  <si>
    <t>kicked because he didn't reply</t>
  </si>
  <si>
    <t>02841 1 73 24 70</t>
  </si>
  <si>
    <t>01520-6520333</t>
  </si>
  <si>
    <t>Hürth / D, jetzt Bad Fredeburg D</t>
  </si>
  <si>
    <t>Christoph</t>
  </si>
  <si>
    <t>Blueser</t>
  </si>
  <si>
    <t>Scheller</t>
  </si>
  <si>
    <t>msprojects@gmx.com</t>
  </si>
  <si>
    <t>DE</t>
  </si>
  <si>
    <t>Rating 1500, angeworben von 2yellow4u</t>
  </si>
  <si>
    <t>Backgammon-Championships - league structure</t>
  </si>
  <si>
    <t>BDGammon</t>
  </si>
  <si>
    <t>Boris</t>
  </si>
  <si>
    <t>Docevski</t>
  </si>
  <si>
    <t>borisdocevski@yahoo.com</t>
  </si>
  <si>
    <t>Rating 1849.73, angeworben von feuillesmortes</t>
  </si>
  <si>
    <t>Sohn von Abra</t>
  </si>
  <si>
    <t>NPC</t>
  </si>
  <si>
    <t>Ashraf</t>
  </si>
  <si>
    <t>old nick: chrysor</t>
  </si>
  <si>
    <t>Fredeburg</t>
  </si>
  <si>
    <t>Austin</t>
  </si>
  <si>
    <t>Mlaustin1@yahoo.com</t>
  </si>
  <si>
    <t>invited by Zenswang</t>
  </si>
  <si>
    <t>North Carolina, USA</t>
  </si>
  <si>
    <t>USA</t>
  </si>
  <si>
    <t>Michael Austin</t>
  </si>
  <si>
    <t>24th season</t>
  </si>
  <si>
    <t>Rating 1906.01 Discord Nick Gantenbein</t>
  </si>
  <si>
    <t>25th season</t>
  </si>
  <si>
    <t>oldehippy@ymail.com</t>
  </si>
  <si>
    <t>ReggiePerrin</t>
  </si>
  <si>
    <t>Neil</t>
  </si>
  <si>
    <t>Bristol</t>
  </si>
  <si>
    <t>invited by CaroLinchen</t>
  </si>
  <si>
    <t>1968neilyoung@gmail.com</t>
  </si>
  <si>
    <t>Mandria</t>
  </si>
  <si>
    <t>Karin</t>
  </si>
  <si>
    <t>seluzia@aol.com</t>
  </si>
  <si>
    <t>Essen</t>
  </si>
  <si>
    <t>Mandria's daughter</t>
  </si>
  <si>
    <t>invited by feuillesmortes</t>
  </si>
  <si>
    <t>Invited by FuturePrimitive</t>
  </si>
  <si>
    <t>Quesada, Spain</t>
  </si>
  <si>
    <t>Dave</t>
  </si>
  <si>
    <t>dave.treacy@talk21.com</t>
  </si>
  <si>
    <t>TraceRacing</t>
  </si>
  <si>
    <t>26th season</t>
  </si>
  <si>
    <t>XxoolixX</t>
  </si>
  <si>
    <t>l.a.u.r.a.h.b.k.1307@gmail.com</t>
  </si>
  <si>
    <t>https://docs.google.com/document/d/1q0oLuol0P3nwvgePUw6VccufjF634UkED8b3vpb_J5g/edit?usp=sharing</t>
  </si>
  <si>
    <t>https://docs.google.com/document/d/1VLPMpqeL4ihbHp9MKt7ocRt67VgEQrfWp2g8Wpq8oCg/edit?usp=sharing</t>
  </si>
  <si>
    <t>Schweiz</t>
  </si>
  <si>
    <t>gleneagle59</t>
  </si>
  <si>
    <t xml:space="preserve">Matthias Jörg </t>
  </si>
  <si>
    <t>Germany ,Saarbrücken ,Saarland</t>
  </si>
  <si>
    <t>Invited by Captnblaubaer</t>
  </si>
  <si>
    <t>Jordan</t>
  </si>
  <si>
    <t>Invited by feuillesmortes</t>
  </si>
  <si>
    <t>USA, New York City</t>
  </si>
  <si>
    <t>Mjq3211q@gmail.com</t>
  </si>
  <si>
    <t>jordan@dailygammon.com</t>
  </si>
  <si>
    <t>Slade</t>
  </si>
  <si>
    <t>Uwe</t>
  </si>
  <si>
    <t>Invited by gleneagle59</t>
  </si>
  <si>
    <t>Huey</t>
  </si>
  <si>
    <t>06333/955417</t>
  </si>
  <si>
    <t>Invited by Abra</t>
  </si>
  <si>
    <t>OLLI Jane</t>
  </si>
  <si>
    <t>Jane</t>
  </si>
  <si>
    <t>Kailua, Hawaii</t>
  </si>
  <si>
    <t>janeraissle@gmail.com</t>
  </si>
  <si>
    <t>Yolandaine</t>
  </si>
  <si>
    <t>Yvonne</t>
  </si>
  <si>
    <t>y.heise@aol.com</t>
  </si>
  <si>
    <t>https://docs.google.com/document/d/1jPB2I3DsnkI38eGeINmDT02diyyyBZYUocUy6mqm9D8/edit?usp=sharing</t>
  </si>
  <si>
    <t>27th season</t>
  </si>
  <si>
    <t>ashraf.shehab@posteo.de</t>
  </si>
  <si>
    <t>Substitute</t>
  </si>
  <si>
    <t>Steffen</t>
  </si>
  <si>
    <t>steffenrauscher@gmx.net</t>
  </si>
  <si>
    <t>Rating 1411.26
Invited by abra</t>
  </si>
  <si>
    <t>0157/54204531</t>
  </si>
  <si>
    <t>Hawaii</t>
  </si>
  <si>
    <t>Rating 1411.26
Invited by feuillesmortes</t>
  </si>
  <si>
    <t>MikeFujita@gmail.com</t>
  </si>
  <si>
    <t>Willie Wonka</t>
  </si>
  <si>
    <t>proposal by TraceRacing</t>
  </si>
  <si>
    <t>dwc</t>
  </si>
  <si>
    <t>t1tpfdc@gmail.com</t>
  </si>
  <si>
    <t>0176/64763816</t>
  </si>
  <si>
    <t>28th season</t>
  </si>
  <si>
    <t>richard.and.amy.adams@gmail.com</t>
  </si>
  <si>
    <t>Lampe</t>
  </si>
  <si>
    <t>Weber</t>
  </si>
  <si>
    <t>new member for 29th</t>
  </si>
  <si>
    <t>backin29</t>
  </si>
  <si>
    <t>aahep@tiscali.co.uk</t>
  </si>
  <si>
    <t>Frank.poersch@web.de</t>
  </si>
  <si>
    <t>Invited by itcfbod</t>
  </si>
  <si>
    <t>eg</t>
  </si>
  <si>
    <t>Invited by ?</t>
  </si>
  <si>
    <t>Europe</t>
  </si>
  <si>
    <t>Erik</t>
  </si>
  <si>
    <t>Norway</t>
  </si>
  <si>
    <t>elias@freemail.hu</t>
  </si>
  <si>
    <t>bloodaxe</t>
  </si>
  <si>
    <t>bloodaxxe@gmail.com</t>
  </si>
  <si>
    <t>uwedable@web.de</t>
  </si>
  <si>
    <t>Want's to suspend 29th season</t>
  </si>
  <si>
    <t>will take a break 29th season</t>
  </si>
  <si>
    <t>takes a break 28th season</t>
  </si>
  <si>
    <t>Kicked</t>
  </si>
  <si>
    <t>29th season</t>
  </si>
  <si>
    <t>Invited by Walter as "Rizzo" but chose another account for the tournament</t>
  </si>
  <si>
    <t>FraPoe</t>
  </si>
  <si>
    <t>could'nt play in 29th</t>
  </si>
  <si>
    <t>put out in 29th cause of missing invitations</t>
  </si>
  <si>
    <t>Invited by mandria</t>
  </si>
  <si>
    <t>doesn't want to go on. Cause of too many matches</t>
  </si>
  <si>
    <t>new member for 30th</t>
  </si>
  <si>
    <t>Susanni</t>
  </si>
  <si>
    <t>Susanni@gmx.de</t>
  </si>
  <si>
    <t>Susanne</t>
  </si>
  <si>
    <t>doesn't play 30th. Cause too busy</t>
  </si>
  <si>
    <t>France, Le Havre</t>
  </si>
  <si>
    <t>Acerkatsura</t>
  </si>
  <si>
    <t>Fred</t>
  </si>
  <si>
    <t>acerkatsura@gmail.com</t>
  </si>
  <si>
    <t>30th season</t>
  </si>
  <si>
    <t>sbdouglas1949@gmail.com</t>
  </si>
  <si>
    <t>wants a break next ssseason(s)</t>
  </si>
  <si>
    <t>new member for 31st</t>
  </si>
  <si>
    <t>WolfE1963</t>
  </si>
  <si>
    <t>Invited by Captnblaubaer
ggf. auch Wolf1963</t>
  </si>
  <si>
    <t>englerwolfgang63@gmail.com</t>
  </si>
  <si>
    <t>Wolfgang</t>
  </si>
  <si>
    <t>Engler</t>
  </si>
  <si>
    <t>Germany, Heidelberg</t>
  </si>
  <si>
    <t>To generate the DOS-Script in column E, select Finished=0 and select all current groups but "0", then copy column E and save it to a .bat-file.
Then execute it and all player-profiles with unfinished matches will be downloaded in a folder .\&lt;timestamp&gt;\profiles relative to your .bat-file.</t>
  </si>
  <si>
    <t>31st season</t>
  </si>
  <si>
    <t>jebediasmie@gmail.com</t>
  </si>
  <si>
    <t xml:space="preserve"> </t>
  </si>
  <si>
    <t>jebediasmie</t>
  </si>
  <si>
    <t>left for 31st</t>
  </si>
  <si>
    <t>riwa</t>
  </si>
  <si>
    <t>klic</t>
  </si>
  <si>
    <t>mors</t>
  </si>
  <si>
    <t>Buckerooni</t>
  </si>
  <si>
    <t>itcfbod</t>
  </si>
  <si>
    <t>phinneas</t>
  </si>
  <si>
    <t>skonaman</t>
  </si>
  <si>
    <t>coolsuit</t>
  </si>
  <si>
    <t>sun</t>
  </si>
  <si>
    <t>izzak</t>
  </si>
  <si>
    <t>prado</t>
  </si>
  <si>
    <t>andy1975</t>
  </si>
  <si>
    <t>averell</t>
  </si>
  <si>
    <t>hoodie</t>
  </si>
  <si>
    <t>fulesmacko</t>
  </si>
  <si>
    <t>Helmut2398</t>
  </si>
  <si>
    <t>planned in for 31st afterwards</t>
  </si>
  <si>
    <t>paulcam</t>
  </si>
  <si>
    <t>paulthecourier@blueyonder.co.uk</t>
  </si>
  <si>
    <t>Merseyside</t>
  </si>
  <si>
    <t>Campbell</t>
  </si>
  <si>
    <t>Herwig</t>
  </si>
  <si>
    <t>b.herwig@posteo.de</t>
  </si>
  <si>
    <t>2nd E-Mail = old</t>
  </si>
  <si>
    <t>new member for 32nd</t>
  </si>
  <si>
    <t>Emina</t>
  </si>
  <si>
    <t>bgminchy@gmail.com</t>
  </si>
  <si>
    <t>Chapsy</t>
  </si>
  <si>
    <t>Germany, Paderborn</t>
  </si>
  <si>
    <t>Steinlaus</t>
  </si>
  <si>
    <t>wnelles@gmx.de</t>
  </si>
  <si>
    <t>aeons</t>
  </si>
  <si>
    <t>jholmertz@yahoo.se</t>
  </si>
  <si>
    <t>Schweden</t>
  </si>
  <si>
    <t>Denby Dale, England</t>
  </si>
  <si>
    <t>USA, Hawaii</t>
  </si>
  <si>
    <t>OLLI CCYHI</t>
  </si>
  <si>
    <t>Carole</t>
  </si>
  <si>
    <t>Muenchi</t>
  </si>
  <si>
    <t>Carsten</t>
  </si>
  <si>
    <t>cchungnc@gmail.com</t>
  </si>
  <si>
    <t>cxm@gmx.de</t>
  </si>
  <si>
    <t>moeppel@me.com</t>
  </si>
  <si>
    <t>Klemens</t>
  </si>
  <si>
    <t>Klem58</t>
  </si>
  <si>
    <t>Doesn't want to continue</t>
  </si>
  <si>
    <t>invited by Susanni
Rating	1574.8</t>
  </si>
  <si>
    <t>invited by CaptnBlaubaer
Rating	1713.46</t>
  </si>
  <si>
    <t>invited by CaptnBlaubaer
Rating	2229.27</t>
  </si>
  <si>
    <t>invited by Olli Jane
Rating	1509.54</t>
  </si>
  <si>
    <t>invited by CaptnBlaubaer
Rating	2223.27</t>
  </si>
  <si>
    <t>invited by CaptnBlaubaer
Rating	1227.84</t>
  </si>
  <si>
    <t>re-entry for 32nd season</t>
  </si>
  <si>
    <t>Rating	1780.27</t>
  </si>
  <si>
    <t>32nd season</t>
  </si>
  <si>
    <t>new member but can't join in 32nd</t>
  </si>
  <si>
    <t>USA, Denver Colorado</t>
  </si>
  <si>
    <t>new member for 33rd</t>
  </si>
  <si>
    <t>sound.nicer.dicer</t>
  </si>
  <si>
    <t>DE, Berlin</t>
  </si>
  <si>
    <t>invited by CaroLinchen
Rating	1406.63</t>
  </si>
  <si>
    <t>sound.nicer.dicer@spreegermanen.de</t>
  </si>
  <si>
    <t>wants to continue again in 33rd season</t>
  </si>
  <si>
    <t>group Excel-link</t>
  </si>
  <si>
    <t>wants to join in 33rd season</t>
  </si>
  <si>
    <t>Gelzhäuser</t>
  </si>
  <si>
    <t>Invited by jebediasmie</t>
  </si>
  <si>
    <t>gelzi</t>
  </si>
  <si>
    <t>Thomas@gelzhaeuser.de</t>
  </si>
  <si>
    <t>33rd season</t>
  </si>
  <si>
    <t>complete</t>
  </si>
  <si>
    <t>vincbt vs. SGE2019 double invitation, 2nd scored as if SGE2019 had invited</t>
  </si>
  <si>
    <t>Nutsch vs. ReggiePerrin double invitation, 2nd scored as if ReggiePerrin had invited</t>
  </si>
  <si>
    <t>won't join 34th season</t>
  </si>
  <si>
    <t>new member for 34th</t>
  </si>
  <si>
    <t>Njtigfan</t>
  </si>
  <si>
    <t>Paul D</t>
  </si>
  <si>
    <t>Tvetenstrand</t>
  </si>
  <si>
    <t>paul.tvetenstrand@dentons.com</t>
  </si>
  <si>
    <t>USA, Summit New Jersey</t>
  </si>
  <si>
    <t>invited by Ark737
Rating	1500</t>
  </si>
  <si>
    <t>wants to leave after 33rd season</t>
  </si>
  <si>
    <t>doesn't want to play 34th season</t>
  </si>
  <si>
    <t>needs a timeout</t>
  </si>
  <si>
    <t>busy with football and can't join 34th season</t>
  </si>
  <si>
    <t>rejoins in 34th season</t>
  </si>
  <si>
    <t>needs a break</t>
  </si>
  <si>
    <t>T.J.</t>
  </si>
  <si>
    <t>invited by feuillesmortes
Rating	1791.23</t>
  </si>
  <si>
    <t>Player</t>
  </si>
  <si>
    <t>new group</t>
  </si>
  <si>
    <t>left</t>
  </si>
  <si>
    <t>tj@crowder.org</t>
  </si>
  <si>
    <t>j1moyer@aol.com</t>
  </si>
  <si>
    <t>J1moyer</t>
  </si>
  <si>
    <t>Jan</t>
  </si>
  <si>
    <t>Ocean City,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</si>
</sst>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horizontal="left" textRotation="45"/>
    </xf>
    <xf numFmtId="0" fontId="1" fillId="0" borderId="0" xfId="1" applyFill="1"/>
    <xf numFmtId="0" fontId="1" fillId="0" borderId="0" xfId="1" applyAlignment="1">
      <alignment horizontal="left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1" fillId="0" borderId="0" xfId="1" applyFill="1" applyAlignment="1">
      <alignment horizontal="left"/>
    </xf>
    <xf numFmtId="0" fontId="3" fillId="0" borderId="0" xfId="1" applyFont="1" applyAlignment="1">
      <alignment horizontal="left"/>
    </xf>
    <xf numFmtId="0" fontId="0" fillId="0" borderId="0" xfId="0" quotePrefix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textRotation="45"/>
    </xf>
    <xf numFmtId="0" fontId="0" fillId="0" borderId="0" xfId="0" applyAlignment="1">
      <alignment horizontal="left" textRotation="45" wrapText="1"/>
    </xf>
    <xf numFmtId="0" fontId="0" fillId="0" borderId="0" xfId="0" quotePrefix="1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0" fillId="0" borderId="0" xfId="0" applyAlignment="1">
      <alignment vertical="top" wrapText="1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top"/>
    </xf>
    <xf numFmtId="0" fontId="1" fillId="0" borderId="0" xfId="1" applyAlignment="1">
      <alignment vertical="top"/>
    </xf>
    <xf numFmtId="0" fontId="1" fillId="0" borderId="0" xfId="1" applyAlignment="1">
      <alignment horizontal="center" vertical="top"/>
    </xf>
    <xf numFmtId="0" fontId="2" fillId="0" borderId="0" xfId="0" applyFont="1" applyAlignment="1">
      <alignment horizontal="center"/>
    </xf>
    <xf numFmtId="0" fontId="0" fillId="3" borderId="1" xfId="0" applyFill="1" applyBorder="1" applyAlignment="1">
      <alignment wrapText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1" fillId="4" borderId="0" xfId="1" applyFill="1" applyAlignment="1">
      <alignment horizontal="left"/>
    </xf>
    <xf numFmtId="0" fontId="0" fillId="0" borderId="0" xfId="0" applyAlignment="1">
      <alignment horizontal="left" vertical="center" wrapText="1"/>
    </xf>
    <xf numFmtId="0" fontId="1" fillId="2" borderId="0" xfId="1" applyFill="1"/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0" fontId="1" fillId="0" borderId="2" xfId="1" applyBorder="1" applyAlignment="1">
      <alignment horizontal="left" vertical="top"/>
    </xf>
    <xf numFmtId="0" fontId="0" fillId="5" borderId="2" xfId="0" applyFill="1" applyBorder="1" applyAlignment="1">
      <alignment horizontal="center" vertical="top"/>
    </xf>
    <xf numFmtId="0" fontId="1" fillId="0" borderId="0" xfId="1" applyAlignment="1">
      <alignment vertical="center"/>
    </xf>
    <xf numFmtId="0" fontId="0" fillId="0" borderId="2" xfId="0" applyBorder="1" applyAlignment="1">
      <alignment vertical="top" wrapText="1"/>
    </xf>
    <xf numFmtId="0" fontId="1" fillId="0" borderId="2" xfId="1" applyBorder="1" applyAlignment="1">
      <alignment vertical="top"/>
    </xf>
    <xf numFmtId="0" fontId="1" fillId="0" borderId="2" xfId="1" applyBorder="1" applyAlignment="1">
      <alignment horizontal="center" vertical="top"/>
    </xf>
    <xf numFmtId="0" fontId="1" fillId="0" borderId="0" xfId="1" applyFill="1" applyAlignment="1">
      <alignment vertical="center"/>
    </xf>
    <xf numFmtId="0" fontId="3" fillId="0" borderId="2" xfId="1" applyFont="1" applyFill="1" applyBorder="1" applyAlignment="1">
      <alignment horizontal="left" vertical="top" wrapText="1"/>
    </xf>
    <xf numFmtId="0" fontId="6" fillId="0" borderId="0" xfId="0" applyFont="1"/>
    <xf numFmtId="0" fontId="3" fillId="0" borderId="0" xfId="0" applyFont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0" xfId="0" applyFont="1" applyAlignment="1">
      <alignment horizontal="center" vertical="top" wrapText="1"/>
    </xf>
    <xf numFmtId="0" fontId="1" fillId="0" borderId="3" xfId="1" applyBorder="1" applyAlignment="1">
      <alignment horizontal="left" vertical="top"/>
    </xf>
    <xf numFmtId="0" fontId="0" fillId="7" borderId="2" xfId="0" applyFill="1" applyBorder="1" applyAlignment="1">
      <alignment vertical="top" wrapText="1"/>
    </xf>
    <xf numFmtId="0" fontId="1" fillId="0" borderId="2" xfId="1" applyFill="1" applyBorder="1" applyAlignment="1">
      <alignment horizontal="left" vertical="top"/>
    </xf>
    <xf numFmtId="49" fontId="0" fillId="0" borderId="0" xfId="0" applyNumberFormat="1" applyAlignment="1">
      <alignment horizontal="left" textRotation="45"/>
    </xf>
    <xf numFmtId="49" fontId="0" fillId="0" borderId="0" xfId="0" applyNumberForma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6" borderId="0" xfId="0" applyFill="1" applyAlignment="1">
      <alignment vertical="top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colors>
    <mruColors>
      <color rgb="FFFCE4D6"/>
      <color rgb="FFE2EFDA"/>
      <color rgb="FFFFDF00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gammon-Meisterschaft.de/31st-season/30th_Backgammon-championships_3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piele\Backgammon\Backgammon-Meisterschaft.de\20th-season\20th_Backgammon-championships_6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piele\Backgammon\Backgammon-Meisterschaft.de\21st-season\21st_Backgammon-championships_3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gues"/>
      <sheetName val="Players"/>
      <sheetName val="Matches"/>
      <sheetName val="Table"/>
      <sheetName val="Links"/>
      <sheetName val="Profilseiten"/>
      <sheetName val="Progress"/>
      <sheetName val="App-Matches"/>
      <sheetName val="App-Table"/>
      <sheetName val="Tournament win prognosis"/>
      <sheetName val="Match win prognosis"/>
      <sheetName val="Rockwell-Kazaross MET"/>
    </sheetNames>
    <sheetDataSet>
      <sheetData sheetId="0" refreshError="1"/>
      <sheetData sheetId="1">
        <row r="1">
          <cell r="C1" t="str">
            <v>3c</v>
          </cell>
        </row>
        <row r="11">
          <cell r="A11" t="str">
            <v>tochev71</v>
          </cell>
        </row>
      </sheetData>
      <sheetData sheetId="2">
        <row r="14">
          <cell r="AT14">
            <v>0</v>
          </cell>
        </row>
      </sheetData>
      <sheetData sheetId="3">
        <row r="3">
          <cell r="A3" t="str">
            <v>Sun</v>
          </cell>
        </row>
      </sheetData>
      <sheetData sheetId="4" refreshError="1"/>
      <sheetData sheetId="5" refreshError="1"/>
      <sheetData sheetId="6">
        <row r="1">
          <cell r="C1" t="str">
            <v>Matches / Player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gues"/>
      <sheetName val="Players"/>
      <sheetName val="Matches"/>
      <sheetName val="Table"/>
      <sheetName val="Links"/>
      <sheetName val="Progress"/>
      <sheetName val="App-Matches"/>
      <sheetName val="App-Table"/>
      <sheetName val="20th_Backgammon-championships_6"/>
    </sheetNames>
    <sheetDataSet>
      <sheetData sheetId="0"/>
      <sheetData sheetId="1">
        <row r="3">
          <cell r="A3" t="str">
            <v>Beldarren</v>
          </cell>
        </row>
        <row r="7">
          <cell r="A7" t="str">
            <v>lucylucy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gues"/>
      <sheetName val="Players"/>
      <sheetName val="Matches"/>
      <sheetName val="Table"/>
      <sheetName val="Links"/>
      <sheetName val="Progress"/>
      <sheetName val="App-Matches"/>
      <sheetName val="App-Table"/>
      <sheetName val="21st_Backgammon-championships_3"/>
    </sheetNames>
    <sheetDataSet>
      <sheetData sheetId="0"/>
      <sheetData sheetId="1">
        <row r="5">
          <cell r="A5" t="str">
            <v>EU-BNL-Carol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dailygammon.com/bg/user/31952" TargetMode="External"/><Relationship Id="rId21" Type="http://schemas.openxmlformats.org/officeDocument/2006/relationships/hyperlink" Target="http://www.dailygammon.com/bg/user/32684" TargetMode="External"/><Relationship Id="rId324" Type="http://schemas.openxmlformats.org/officeDocument/2006/relationships/hyperlink" Target="mailto:antitout.fn@gmail.com" TargetMode="External"/><Relationship Id="rId531" Type="http://schemas.openxmlformats.org/officeDocument/2006/relationships/hyperlink" Target="http://www.dailygammon.com/bg/top" TargetMode="External"/><Relationship Id="rId170" Type="http://schemas.openxmlformats.org/officeDocument/2006/relationships/hyperlink" Target="mailto:lone-wolf@posteo.de" TargetMode="External"/><Relationship Id="rId268" Type="http://schemas.openxmlformats.org/officeDocument/2006/relationships/hyperlink" Target="http://www.dailygammon.com/bg/user/16036" TargetMode="External"/><Relationship Id="rId475" Type="http://schemas.openxmlformats.org/officeDocument/2006/relationships/hyperlink" Target="http://www.dailygammon.com/bg/top" TargetMode="External"/><Relationship Id="rId32" Type="http://schemas.openxmlformats.org/officeDocument/2006/relationships/hyperlink" Target="mailto:jorico@hispeed.ch" TargetMode="External"/><Relationship Id="rId128" Type="http://schemas.openxmlformats.org/officeDocument/2006/relationships/hyperlink" Target="http://www.dailygammon.com/bg/user/32477" TargetMode="External"/><Relationship Id="rId335" Type="http://schemas.openxmlformats.org/officeDocument/2006/relationships/hyperlink" Target="mailto:madwriter29@gmail.com" TargetMode="External"/><Relationship Id="rId542" Type="http://schemas.openxmlformats.org/officeDocument/2006/relationships/hyperlink" Target="http://www.dailygammon.com/bg/user/24748" TargetMode="External"/><Relationship Id="rId181" Type="http://schemas.openxmlformats.org/officeDocument/2006/relationships/hyperlink" Target="http://www.dailygammon.com/bg/user/18771" TargetMode="External"/><Relationship Id="rId402" Type="http://schemas.openxmlformats.org/officeDocument/2006/relationships/hyperlink" Target="http://www.dailygammon.com/bg/top" TargetMode="External"/><Relationship Id="rId279" Type="http://schemas.openxmlformats.org/officeDocument/2006/relationships/hyperlink" Target="http://www.dailygammon.com/bg/user/23659" TargetMode="External"/><Relationship Id="rId486" Type="http://schemas.openxmlformats.org/officeDocument/2006/relationships/hyperlink" Target="http://www.dailygammon.com/bg/user/13175" TargetMode="External"/><Relationship Id="rId43" Type="http://schemas.openxmlformats.org/officeDocument/2006/relationships/hyperlink" Target="mailto:jdlca3@gmail.com" TargetMode="External"/><Relationship Id="rId139" Type="http://schemas.openxmlformats.org/officeDocument/2006/relationships/hyperlink" Target="http://www.dailygammon.com/bg/user/22550" TargetMode="External"/><Relationship Id="rId346" Type="http://schemas.openxmlformats.org/officeDocument/2006/relationships/hyperlink" Target="http://dailygammon.com/bg/user/23763" TargetMode="External"/><Relationship Id="rId553" Type="http://schemas.openxmlformats.org/officeDocument/2006/relationships/printerSettings" Target="../printerSettings/printerSettings3.bin"/><Relationship Id="rId192" Type="http://schemas.openxmlformats.org/officeDocument/2006/relationships/hyperlink" Target="mailto:joost.suasso@gmail.com" TargetMode="External"/><Relationship Id="rId206" Type="http://schemas.openxmlformats.org/officeDocument/2006/relationships/hyperlink" Target="http://www.dailygammon.com/bg/user/3678" TargetMode="External"/><Relationship Id="rId413" Type="http://schemas.openxmlformats.org/officeDocument/2006/relationships/hyperlink" Target="http://www.dailygammon.com/bg/user/39451" TargetMode="External"/><Relationship Id="rId497" Type="http://schemas.openxmlformats.org/officeDocument/2006/relationships/hyperlink" Target="mailto:acerkatsura@gmail.com" TargetMode="External"/><Relationship Id="rId357" Type="http://schemas.openxmlformats.org/officeDocument/2006/relationships/hyperlink" Target="http://www.dailygammon.com/bg/user/2685" TargetMode="External"/><Relationship Id="rId54" Type="http://schemas.openxmlformats.org/officeDocument/2006/relationships/hyperlink" Target="mailto:kaumijau@web.de" TargetMode="External"/><Relationship Id="rId96" Type="http://schemas.openxmlformats.org/officeDocument/2006/relationships/hyperlink" Target="http://www.dailygammon.com/bg/user/19565" TargetMode="External"/><Relationship Id="rId161" Type="http://schemas.openxmlformats.org/officeDocument/2006/relationships/hyperlink" Target="mailto:william_spiers@btinternet.com" TargetMode="External"/><Relationship Id="rId217" Type="http://schemas.openxmlformats.org/officeDocument/2006/relationships/hyperlink" Target="mailto:dustinramsbottom@gmail.com" TargetMode="External"/><Relationship Id="rId399" Type="http://schemas.openxmlformats.org/officeDocument/2006/relationships/hyperlink" Target="mailto:max.stockslager@gmail.com" TargetMode="External"/><Relationship Id="rId259" Type="http://schemas.openxmlformats.org/officeDocument/2006/relationships/hyperlink" Target="http://www.dailygammon.com/bg/user/11977" TargetMode="External"/><Relationship Id="rId424" Type="http://schemas.openxmlformats.org/officeDocument/2006/relationships/hyperlink" Target="mailto:seluzia@aol.com" TargetMode="External"/><Relationship Id="rId466" Type="http://schemas.openxmlformats.org/officeDocument/2006/relationships/hyperlink" Target="http://www.dailygammon.com/bg/user/313" TargetMode="External"/><Relationship Id="rId23" Type="http://schemas.openxmlformats.org/officeDocument/2006/relationships/hyperlink" Target="http://www.dailygammon.com/bg/user/23273" TargetMode="External"/><Relationship Id="rId119" Type="http://schemas.openxmlformats.org/officeDocument/2006/relationships/hyperlink" Target="http://www.dailygammon.com/bg/user/19182" TargetMode="External"/><Relationship Id="rId270" Type="http://schemas.openxmlformats.org/officeDocument/2006/relationships/hyperlink" Target="http://www.dailygammon.com/bg/user/33060" TargetMode="External"/><Relationship Id="rId326" Type="http://schemas.openxmlformats.org/officeDocument/2006/relationships/hyperlink" Target="mailto:jimohrberg@yahoo.com" TargetMode="External"/><Relationship Id="rId533" Type="http://schemas.openxmlformats.org/officeDocument/2006/relationships/hyperlink" Target="http://www.dailygammon.com/bg/user/41606" TargetMode="External"/><Relationship Id="rId65" Type="http://schemas.openxmlformats.org/officeDocument/2006/relationships/hyperlink" Target="http://www.dailygammon.com/bg/user/14866" TargetMode="External"/><Relationship Id="rId130" Type="http://schemas.openxmlformats.org/officeDocument/2006/relationships/hyperlink" Target="http://www.dailygammon.com/bg/user/20617" TargetMode="External"/><Relationship Id="rId368" Type="http://schemas.openxmlformats.org/officeDocument/2006/relationships/hyperlink" Target="mailto:m.brueggemeier@posteo.de" TargetMode="External"/><Relationship Id="rId172" Type="http://schemas.openxmlformats.org/officeDocument/2006/relationships/hyperlink" Target="mailto:arnaud.pinel@free.fr" TargetMode="External"/><Relationship Id="rId228" Type="http://schemas.openxmlformats.org/officeDocument/2006/relationships/hyperlink" Target="http://www.dailygammon.com/bg/user/28712" TargetMode="External"/><Relationship Id="rId435" Type="http://schemas.openxmlformats.org/officeDocument/2006/relationships/hyperlink" Target="http://www.dailygammon.com/bg/top" TargetMode="External"/><Relationship Id="rId477" Type="http://schemas.openxmlformats.org/officeDocument/2006/relationships/hyperlink" Target="http://www.dailygammon.com/bg/user/17507" TargetMode="External"/><Relationship Id="rId281" Type="http://schemas.openxmlformats.org/officeDocument/2006/relationships/hyperlink" Target="mailto:Lucyfriedman@hotmail.com" TargetMode="External"/><Relationship Id="rId337" Type="http://schemas.openxmlformats.org/officeDocument/2006/relationships/hyperlink" Target="http://www.dailygammon.com/bg/user/30903" TargetMode="External"/><Relationship Id="rId502" Type="http://schemas.openxmlformats.org/officeDocument/2006/relationships/hyperlink" Target="http://www.dailygammon.com/bg/user/41076" TargetMode="External"/><Relationship Id="rId34" Type="http://schemas.openxmlformats.org/officeDocument/2006/relationships/hyperlink" Target="mailto:hjj@xs4all.nl" TargetMode="External"/><Relationship Id="rId76" Type="http://schemas.openxmlformats.org/officeDocument/2006/relationships/hyperlink" Target="http://www.dailygammon.com/bg/user/579" TargetMode="External"/><Relationship Id="rId141" Type="http://schemas.openxmlformats.org/officeDocument/2006/relationships/hyperlink" Target="http://www.dailygammon.com/bg/user/12166" TargetMode="External"/><Relationship Id="rId379" Type="http://schemas.openxmlformats.org/officeDocument/2006/relationships/hyperlink" Target="http://www.dailygammon.com/bg/user/16354" TargetMode="External"/><Relationship Id="rId544" Type="http://schemas.openxmlformats.org/officeDocument/2006/relationships/hyperlink" Target="http://www.dailygammon.com/bg/top" TargetMode="External"/><Relationship Id="rId7" Type="http://schemas.openxmlformats.org/officeDocument/2006/relationships/hyperlink" Target="http://www.dailygammon.com/bg/user/21692" TargetMode="External"/><Relationship Id="rId183" Type="http://schemas.openxmlformats.org/officeDocument/2006/relationships/hyperlink" Target="http://www.dailygammon.com/bg/user/4692" TargetMode="External"/><Relationship Id="rId239" Type="http://schemas.openxmlformats.org/officeDocument/2006/relationships/hyperlink" Target="http://www.dailygammon.com/bg/user/5192" TargetMode="External"/><Relationship Id="rId390" Type="http://schemas.openxmlformats.org/officeDocument/2006/relationships/hyperlink" Target="http://www.dailygammon.com/bg/user/7477" TargetMode="External"/><Relationship Id="rId404" Type="http://schemas.openxmlformats.org/officeDocument/2006/relationships/hyperlink" Target="http://dailygammon.com/bg/user/34182" TargetMode="External"/><Relationship Id="rId446" Type="http://schemas.openxmlformats.org/officeDocument/2006/relationships/hyperlink" Target="http://www.dailygammon.com/bg/user/29498" TargetMode="External"/><Relationship Id="rId250" Type="http://schemas.openxmlformats.org/officeDocument/2006/relationships/hyperlink" Target="http://www.dailygammon.com/bg/user/10812" TargetMode="External"/><Relationship Id="rId292" Type="http://schemas.openxmlformats.org/officeDocument/2006/relationships/hyperlink" Target="http://www.dailygammon.com/bg/user/22550" TargetMode="External"/><Relationship Id="rId306" Type="http://schemas.openxmlformats.org/officeDocument/2006/relationships/hyperlink" Target="mailto:bruno.kuersteiner@gmx.ch" TargetMode="External"/><Relationship Id="rId488" Type="http://schemas.openxmlformats.org/officeDocument/2006/relationships/hyperlink" Target="http://www.dailygammon.com/bg/top" TargetMode="External"/><Relationship Id="rId45" Type="http://schemas.openxmlformats.org/officeDocument/2006/relationships/hyperlink" Target="mailto:s.brinkmann2@gmx.de" TargetMode="External"/><Relationship Id="rId87" Type="http://schemas.openxmlformats.org/officeDocument/2006/relationships/hyperlink" Target="http://www.dailygammon.com/bg/user/35610" TargetMode="External"/><Relationship Id="rId110" Type="http://schemas.openxmlformats.org/officeDocument/2006/relationships/hyperlink" Target="mailto:sandusky@mds.tech" TargetMode="External"/><Relationship Id="rId348" Type="http://schemas.openxmlformats.org/officeDocument/2006/relationships/hyperlink" Target="http://dailygammon.com/bg/user/22269" TargetMode="External"/><Relationship Id="rId513" Type="http://schemas.openxmlformats.org/officeDocument/2006/relationships/hyperlink" Target="mailto:bgminchy@gmail.com" TargetMode="External"/><Relationship Id="rId152" Type="http://schemas.openxmlformats.org/officeDocument/2006/relationships/hyperlink" Target="http://www.dailygammon.com/bg/user/31552" TargetMode="External"/><Relationship Id="rId194" Type="http://schemas.openxmlformats.org/officeDocument/2006/relationships/hyperlink" Target="http://www.dailygammon.com/bg/user/19182%5e" TargetMode="External"/><Relationship Id="rId208" Type="http://schemas.openxmlformats.org/officeDocument/2006/relationships/hyperlink" Target="http://www.dailygammon.com/bg/user/26178" TargetMode="External"/><Relationship Id="rId415" Type="http://schemas.openxmlformats.org/officeDocument/2006/relationships/hyperlink" Target="mailto:oldehippy@ymail.com" TargetMode="External"/><Relationship Id="rId457" Type="http://schemas.openxmlformats.org/officeDocument/2006/relationships/hyperlink" Target="http://www.dailygammon.com/bg/user/12220" TargetMode="External"/><Relationship Id="rId261" Type="http://schemas.openxmlformats.org/officeDocument/2006/relationships/hyperlink" Target="http://www.dailygammon.com/bg/user/10304" TargetMode="External"/><Relationship Id="rId499" Type="http://schemas.openxmlformats.org/officeDocument/2006/relationships/hyperlink" Target="http://www.dailygammon.com/bg/user/39676" TargetMode="External"/><Relationship Id="rId14" Type="http://schemas.openxmlformats.org/officeDocument/2006/relationships/hyperlink" Target="mailto:a.bg-turniere@amalesh.de" TargetMode="External"/><Relationship Id="rId56" Type="http://schemas.openxmlformats.org/officeDocument/2006/relationships/hyperlink" Target="http://www.dailygammon.com/bg/user/31655" TargetMode="External"/><Relationship Id="rId317" Type="http://schemas.openxmlformats.org/officeDocument/2006/relationships/hyperlink" Target="mailto:mauijoy@gmail.com" TargetMode="External"/><Relationship Id="rId359" Type="http://schemas.openxmlformats.org/officeDocument/2006/relationships/hyperlink" Target="mailto:ilbcnu@dailygammon.com" TargetMode="External"/><Relationship Id="rId524" Type="http://schemas.openxmlformats.org/officeDocument/2006/relationships/hyperlink" Target="http://dailygammon.com/bg/user/36756" TargetMode="External"/><Relationship Id="rId98" Type="http://schemas.openxmlformats.org/officeDocument/2006/relationships/hyperlink" Target="http://www.dailygammon.com/bg/user/17562" TargetMode="External"/><Relationship Id="rId121" Type="http://schemas.openxmlformats.org/officeDocument/2006/relationships/hyperlink" Target="http://www.dailygammon.com/bg/user/18866" TargetMode="External"/><Relationship Id="rId163" Type="http://schemas.openxmlformats.org/officeDocument/2006/relationships/hyperlink" Target="http://www.dailygammon.com/bg/user/37328" TargetMode="External"/><Relationship Id="rId219" Type="http://schemas.openxmlformats.org/officeDocument/2006/relationships/hyperlink" Target="http://www.dailygammon.com/bg/user/16338" TargetMode="External"/><Relationship Id="rId370" Type="http://schemas.openxmlformats.org/officeDocument/2006/relationships/hyperlink" Target="http://www.dailygammon.com/bg/user/8801" TargetMode="External"/><Relationship Id="rId426" Type="http://schemas.openxmlformats.org/officeDocument/2006/relationships/hyperlink" Target="mailto:dokobader@yahoo.de" TargetMode="External"/><Relationship Id="rId230" Type="http://schemas.openxmlformats.org/officeDocument/2006/relationships/hyperlink" Target="mailto:alf4ad@gmail.com" TargetMode="External"/><Relationship Id="rId468" Type="http://schemas.openxmlformats.org/officeDocument/2006/relationships/hyperlink" Target="mailto:richard.and.amy.adams@gmail.com" TargetMode="External"/><Relationship Id="rId25" Type="http://schemas.openxmlformats.org/officeDocument/2006/relationships/hyperlink" Target="mailto:robin.wagenblast@gmx.de" TargetMode="External"/><Relationship Id="rId67" Type="http://schemas.openxmlformats.org/officeDocument/2006/relationships/hyperlink" Target="http://www.dailygammon.com/bg/user/20006" TargetMode="External"/><Relationship Id="rId272" Type="http://schemas.openxmlformats.org/officeDocument/2006/relationships/hyperlink" Target="mailto:r.haslauer@web.de" TargetMode="External"/><Relationship Id="rId328" Type="http://schemas.openxmlformats.org/officeDocument/2006/relationships/hyperlink" Target="mailto:ianfulton@btinternet.com" TargetMode="External"/><Relationship Id="rId535" Type="http://schemas.openxmlformats.org/officeDocument/2006/relationships/hyperlink" Target="http://www.dailygammon.com/bg/top" TargetMode="External"/><Relationship Id="rId132" Type="http://schemas.openxmlformats.org/officeDocument/2006/relationships/hyperlink" Target="http://www.dailygammon.com/bg/user/22415" TargetMode="External"/><Relationship Id="rId174" Type="http://schemas.openxmlformats.org/officeDocument/2006/relationships/hyperlink" Target="http://www.dailygammon.com/bg/user/30835" TargetMode="External"/><Relationship Id="rId381" Type="http://schemas.openxmlformats.org/officeDocument/2006/relationships/hyperlink" Target="http://www.dailygammon.com/bg/user/38806" TargetMode="External"/><Relationship Id="rId241" Type="http://schemas.openxmlformats.org/officeDocument/2006/relationships/hyperlink" Target="http://www.dailygammon.com/bg/user/24149" TargetMode="External"/><Relationship Id="rId437" Type="http://schemas.openxmlformats.org/officeDocument/2006/relationships/hyperlink" Target="http://www.dailygammon.com/bg/user/1" TargetMode="External"/><Relationship Id="rId479" Type="http://schemas.openxmlformats.org/officeDocument/2006/relationships/hyperlink" Target="http://www.dailygammon.com/bg/top" TargetMode="External"/><Relationship Id="rId36" Type="http://schemas.openxmlformats.org/officeDocument/2006/relationships/hyperlink" Target="http://www.dailygammon.com/bg/user/22447" TargetMode="External"/><Relationship Id="rId283" Type="http://schemas.openxmlformats.org/officeDocument/2006/relationships/hyperlink" Target="mailto:kleanthismaniatis@gmail.com" TargetMode="External"/><Relationship Id="rId339" Type="http://schemas.openxmlformats.org/officeDocument/2006/relationships/hyperlink" Target="http://www.dailygammon.com/bg/user/6856" TargetMode="External"/><Relationship Id="rId490" Type="http://schemas.openxmlformats.org/officeDocument/2006/relationships/hyperlink" Target="http://www.dailygammon.com/bg/user/18758" TargetMode="External"/><Relationship Id="rId504" Type="http://schemas.openxmlformats.org/officeDocument/2006/relationships/hyperlink" Target="mailto:englerwolfgang63@gmail.com" TargetMode="External"/><Relationship Id="rId546" Type="http://schemas.openxmlformats.org/officeDocument/2006/relationships/hyperlink" Target="http://dailygammon.com/bg/user/42202" TargetMode="External"/><Relationship Id="rId78" Type="http://schemas.openxmlformats.org/officeDocument/2006/relationships/hyperlink" Target="mailto:matte.macchiato@gmail.com" TargetMode="External"/><Relationship Id="rId101" Type="http://schemas.openxmlformats.org/officeDocument/2006/relationships/hyperlink" Target="mailto:stefanostella@libero.it" TargetMode="External"/><Relationship Id="rId143" Type="http://schemas.openxmlformats.org/officeDocument/2006/relationships/hyperlink" Target="http://www.dailygammon.com/bg/user/7768" TargetMode="External"/><Relationship Id="rId185" Type="http://schemas.openxmlformats.org/officeDocument/2006/relationships/hyperlink" Target="http://www.dailygammon.com/bg/user/31065" TargetMode="External"/><Relationship Id="rId350" Type="http://schemas.openxmlformats.org/officeDocument/2006/relationships/hyperlink" Target="http://www.dailygammon.com/bg/user/30175" TargetMode="External"/><Relationship Id="rId406" Type="http://schemas.openxmlformats.org/officeDocument/2006/relationships/hyperlink" Target="mailto:borisdocevski@yahoo.com" TargetMode="External"/><Relationship Id="rId9" Type="http://schemas.openxmlformats.org/officeDocument/2006/relationships/hyperlink" Target="http://www.dailygammon.com/bg/user/28330" TargetMode="External"/><Relationship Id="rId210" Type="http://schemas.openxmlformats.org/officeDocument/2006/relationships/hyperlink" Target="http://www.dailygammon.com/bg/user/7768" TargetMode="External"/><Relationship Id="rId392" Type="http://schemas.openxmlformats.org/officeDocument/2006/relationships/hyperlink" Target="mailto:markus_schick@gmx.net" TargetMode="External"/><Relationship Id="rId448" Type="http://schemas.openxmlformats.org/officeDocument/2006/relationships/hyperlink" Target="http://www.dailygammon.com/bg/user/39590" TargetMode="External"/><Relationship Id="rId252" Type="http://schemas.openxmlformats.org/officeDocument/2006/relationships/hyperlink" Target="http://www.dailygammon.com/bg/user/37706" TargetMode="External"/><Relationship Id="rId294" Type="http://schemas.openxmlformats.org/officeDocument/2006/relationships/hyperlink" Target="http://www.dailygammon.com/bg/user/21605" TargetMode="External"/><Relationship Id="rId308" Type="http://schemas.openxmlformats.org/officeDocument/2006/relationships/hyperlink" Target="mailto:Richard.Adams@jhuapl.edu" TargetMode="External"/><Relationship Id="rId515" Type="http://schemas.openxmlformats.org/officeDocument/2006/relationships/hyperlink" Target="http://www.dailygammon.com/bg/user/41626" TargetMode="External"/><Relationship Id="rId47" Type="http://schemas.openxmlformats.org/officeDocument/2006/relationships/hyperlink" Target="mailto:mehmet.acet@uni-due.de" TargetMode="External"/><Relationship Id="rId89" Type="http://schemas.openxmlformats.org/officeDocument/2006/relationships/hyperlink" Target="mailto:Patrik.Vanheyden@gmx.de" TargetMode="External"/><Relationship Id="rId112" Type="http://schemas.openxmlformats.org/officeDocument/2006/relationships/hyperlink" Target="mailto:karlvonr@gmail.com" TargetMode="External"/><Relationship Id="rId154" Type="http://schemas.openxmlformats.org/officeDocument/2006/relationships/hyperlink" Target="http://www.dailygammon.com/bg/user/17801" TargetMode="External"/><Relationship Id="rId361" Type="http://schemas.openxmlformats.org/officeDocument/2006/relationships/hyperlink" Target="http://www.dailygammon.com/bg/user/21821" TargetMode="External"/><Relationship Id="rId196" Type="http://schemas.openxmlformats.org/officeDocument/2006/relationships/hyperlink" Target="http://www.dailygammon.com/bg/user/21950" TargetMode="External"/><Relationship Id="rId417" Type="http://schemas.openxmlformats.org/officeDocument/2006/relationships/hyperlink" Target="http://www.dailygammon.com/bg/top" TargetMode="External"/><Relationship Id="rId459" Type="http://schemas.openxmlformats.org/officeDocument/2006/relationships/hyperlink" Target="mailto:steffenrauscher@gmx.net" TargetMode="External"/><Relationship Id="rId16" Type="http://schemas.openxmlformats.org/officeDocument/2006/relationships/hyperlink" Target="mailto:gidee@aol.com" TargetMode="External"/><Relationship Id="rId221" Type="http://schemas.openxmlformats.org/officeDocument/2006/relationships/hyperlink" Target="http://www.sascha-neudeck.com/" TargetMode="External"/><Relationship Id="rId263" Type="http://schemas.openxmlformats.org/officeDocument/2006/relationships/hyperlink" Target="http://www.dailygammon.com/bg/user/3387" TargetMode="External"/><Relationship Id="rId319" Type="http://schemas.openxmlformats.org/officeDocument/2006/relationships/hyperlink" Target="mailto:riwagner@gmx.at" TargetMode="External"/><Relationship Id="rId470" Type="http://schemas.openxmlformats.org/officeDocument/2006/relationships/hyperlink" Target="http://www.dailygammon.com/bg/user/40804" TargetMode="External"/><Relationship Id="rId526" Type="http://schemas.openxmlformats.org/officeDocument/2006/relationships/hyperlink" Target="http://www.dailygammon.com/bg/top" TargetMode="External"/><Relationship Id="rId58" Type="http://schemas.openxmlformats.org/officeDocument/2006/relationships/hyperlink" Target="mailto:pdielissen@ziggo.nl" TargetMode="External"/><Relationship Id="rId123" Type="http://schemas.openxmlformats.org/officeDocument/2006/relationships/hyperlink" Target="http://www.dailygammon.com/bg/user/32667" TargetMode="External"/><Relationship Id="rId330" Type="http://schemas.openxmlformats.org/officeDocument/2006/relationships/hyperlink" Target="mailto:funkypower@gmx.de" TargetMode="External"/><Relationship Id="rId165" Type="http://schemas.openxmlformats.org/officeDocument/2006/relationships/hyperlink" Target="http://www.dailygammon.com/bg/user/8719" TargetMode="External"/><Relationship Id="rId372" Type="http://schemas.openxmlformats.org/officeDocument/2006/relationships/hyperlink" Target="http://www.dailygammon.com/bg/user/38369" TargetMode="External"/><Relationship Id="rId428" Type="http://schemas.openxmlformats.org/officeDocument/2006/relationships/hyperlink" Target="http://www.dailygammon.com/bg/top" TargetMode="External"/><Relationship Id="rId232" Type="http://schemas.openxmlformats.org/officeDocument/2006/relationships/hyperlink" Target="http://www.dailygammon.com/bg/user/22511" TargetMode="External"/><Relationship Id="rId274" Type="http://schemas.openxmlformats.org/officeDocument/2006/relationships/hyperlink" Target="mailto:hoodiehood@hotmail.com" TargetMode="External"/><Relationship Id="rId481" Type="http://schemas.openxmlformats.org/officeDocument/2006/relationships/hyperlink" Target="http://www.dailygammon.com/bg/user/28142" TargetMode="External"/><Relationship Id="rId27" Type="http://schemas.openxmlformats.org/officeDocument/2006/relationships/hyperlink" Target="mailto:tomlikesbg@gmail.com" TargetMode="External"/><Relationship Id="rId69" Type="http://schemas.openxmlformats.org/officeDocument/2006/relationships/hyperlink" Target="http://www.dailygammon.com/bg/user/22416" TargetMode="External"/><Relationship Id="rId134" Type="http://schemas.openxmlformats.org/officeDocument/2006/relationships/hyperlink" Target="http://www.dailygammon.com/bg/user/8743" TargetMode="External"/><Relationship Id="rId537" Type="http://schemas.openxmlformats.org/officeDocument/2006/relationships/hyperlink" Target="http://www.dailygammon.com/bg/user/40044" TargetMode="External"/><Relationship Id="rId80" Type="http://schemas.openxmlformats.org/officeDocument/2006/relationships/hyperlink" Target="http://www.dailygammon.com/bg/user/18934" TargetMode="External"/><Relationship Id="rId176" Type="http://schemas.openxmlformats.org/officeDocument/2006/relationships/hyperlink" Target="http://www.dailygammon.com/bg/user/33175" TargetMode="External"/><Relationship Id="rId341" Type="http://schemas.openxmlformats.org/officeDocument/2006/relationships/hyperlink" Target="http://www.dailygammon.com/bg/user/29852" TargetMode="External"/><Relationship Id="rId383" Type="http://schemas.openxmlformats.org/officeDocument/2006/relationships/hyperlink" Target="mailto:sarazarembski@icloud.com" TargetMode="External"/><Relationship Id="rId439" Type="http://schemas.openxmlformats.org/officeDocument/2006/relationships/hyperlink" Target="mailto:jordan@dailygammon.com" TargetMode="External"/><Relationship Id="rId201" Type="http://schemas.openxmlformats.org/officeDocument/2006/relationships/hyperlink" Target="http://www.dailygammon.com/bg/user/21648" TargetMode="External"/><Relationship Id="rId243" Type="http://schemas.openxmlformats.org/officeDocument/2006/relationships/hyperlink" Target="mailto:manx.moores@gmail.com" TargetMode="External"/><Relationship Id="rId285" Type="http://schemas.openxmlformats.org/officeDocument/2006/relationships/hyperlink" Target="mailto:rainer.rogatzki@web.de" TargetMode="External"/><Relationship Id="rId450" Type="http://schemas.openxmlformats.org/officeDocument/2006/relationships/hyperlink" Target="mailto:janeraissle@gmail.com" TargetMode="External"/><Relationship Id="rId506" Type="http://schemas.openxmlformats.org/officeDocument/2006/relationships/hyperlink" Target="mailto:paulthecourier@blueyonder.co.uk" TargetMode="External"/><Relationship Id="rId38" Type="http://schemas.openxmlformats.org/officeDocument/2006/relationships/hyperlink" Target="mailto:patrick.kimari@gmail.com" TargetMode="External"/><Relationship Id="rId103" Type="http://schemas.openxmlformats.org/officeDocument/2006/relationships/hyperlink" Target="mailto:flicker@iafrica.com" TargetMode="External"/><Relationship Id="rId310" Type="http://schemas.openxmlformats.org/officeDocument/2006/relationships/hyperlink" Target="mailto:rg864864@gmail.com" TargetMode="External"/><Relationship Id="rId492" Type="http://schemas.openxmlformats.org/officeDocument/2006/relationships/hyperlink" Target="http://www.dailygammon.com/bg/user/37219" TargetMode="External"/><Relationship Id="rId548" Type="http://schemas.openxmlformats.org/officeDocument/2006/relationships/hyperlink" Target="http://www.dailygammon.com/bg/top" TargetMode="External"/><Relationship Id="rId91" Type="http://schemas.openxmlformats.org/officeDocument/2006/relationships/hyperlink" Target="mailto:hermann.frei@outlook.fr" TargetMode="External"/><Relationship Id="rId145" Type="http://schemas.openxmlformats.org/officeDocument/2006/relationships/hyperlink" Target="http://www.dailygammon.com/bg/user/6856" TargetMode="External"/><Relationship Id="rId187" Type="http://schemas.openxmlformats.org/officeDocument/2006/relationships/hyperlink" Target="http://www.dailygammon.com/bg/user/35052" TargetMode="External"/><Relationship Id="rId352" Type="http://schemas.openxmlformats.org/officeDocument/2006/relationships/hyperlink" Target="mailto:jcfuhrmann@comcast.net" TargetMode="External"/><Relationship Id="rId394" Type="http://schemas.openxmlformats.org/officeDocument/2006/relationships/hyperlink" Target="http://www.dailygammon.com/bg/user/39043" TargetMode="External"/><Relationship Id="rId408" Type="http://schemas.openxmlformats.org/officeDocument/2006/relationships/hyperlink" Target="http://www.dailygammon.com/bg/user/2115" TargetMode="External"/><Relationship Id="rId212" Type="http://schemas.openxmlformats.org/officeDocument/2006/relationships/hyperlink" Target="http://www.dailygammon.com/bg/user/21584" TargetMode="External"/><Relationship Id="rId254" Type="http://schemas.openxmlformats.org/officeDocument/2006/relationships/hyperlink" Target="http://www.dailygammon.com/bg/user/296" TargetMode="External"/><Relationship Id="rId49" Type="http://schemas.openxmlformats.org/officeDocument/2006/relationships/hyperlink" Target="http://www.dailygammon.com/bg/user/22660" TargetMode="External"/><Relationship Id="rId114" Type="http://schemas.openxmlformats.org/officeDocument/2006/relationships/hyperlink" Target="mailto:c.hassenjuergen@t-online.de" TargetMode="External"/><Relationship Id="rId296" Type="http://schemas.openxmlformats.org/officeDocument/2006/relationships/hyperlink" Target="http://www.dailygammon.com/bg/user/4701" TargetMode="External"/><Relationship Id="rId461" Type="http://schemas.openxmlformats.org/officeDocument/2006/relationships/hyperlink" Target="http://www.dailygammon.com/bg/user/4872" TargetMode="External"/><Relationship Id="rId517" Type="http://schemas.openxmlformats.org/officeDocument/2006/relationships/hyperlink" Target="http://www.dailygammon.com/bg/top" TargetMode="External"/><Relationship Id="rId60" Type="http://schemas.openxmlformats.org/officeDocument/2006/relationships/hyperlink" Target="http://www.dailygammon.com/bg/user/27904" TargetMode="External"/><Relationship Id="rId156" Type="http://schemas.openxmlformats.org/officeDocument/2006/relationships/hyperlink" Target="mailto:pberg.cgn@gmail.com" TargetMode="External"/><Relationship Id="rId198" Type="http://schemas.openxmlformats.org/officeDocument/2006/relationships/hyperlink" Target="http://www.dailygammon.com/bg/user/32477" TargetMode="External"/><Relationship Id="rId321" Type="http://schemas.openxmlformats.org/officeDocument/2006/relationships/hyperlink" Target="mailto:allanc14405@gmail.com" TargetMode="External"/><Relationship Id="rId363" Type="http://schemas.openxmlformats.org/officeDocument/2006/relationships/hyperlink" Target="http://www.dailygammon.com/bg/user/33344" TargetMode="External"/><Relationship Id="rId419" Type="http://schemas.openxmlformats.org/officeDocument/2006/relationships/hyperlink" Target="http://www.dailygammon.com/bg/user/19359" TargetMode="External"/><Relationship Id="rId223" Type="http://schemas.openxmlformats.org/officeDocument/2006/relationships/hyperlink" Target="http://www.dailygammon.com/bg/user/23706" TargetMode="External"/><Relationship Id="rId430" Type="http://schemas.openxmlformats.org/officeDocument/2006/relationships/hyperlink" Target="http://www.dailygammon.com/bg/user/1236" TargetMode="External"/><Relationship Id="rId18" Type="http://schemas.openxmlformats.org/officeDocument/2006/relationships/hyperlink" Target="mailto:andreas.graf2@aon.at" TargetMode="External"/><Relationship Id="rId265" Type="http://schemas.openxmlformats.org/officeDocument/2006/relationships/hyperlink" Target="http://www.dailygammon.com/bg/user/22072" TargetMode="External"/><Relationship Id="rId472" Type="http://schemas.openxmlformats.org/officeDocument/2006/relationships/hyperlink" Target="mailto:aahep@tiscali.co.uk" TargetMode="External"/><Relationship Id="rId528" Type="http://schemas.openxmlformats.org/officeDocument/2006/relationships/hyperlink" Target="http://www.dailygammon.com/bg/user/435" TargetMode="External"/><Relationship Id="rId125" Type="http://schemas.openxmlformats.org/officeDocument/2006/relationships/hyperlink" Target="http://www.dailygammon.com/bg/user/18993" TargetMode="External"/><Relationship Id="rId167" Type="http://schemas.openxmlformats.org/officeDocument/2006/relationships/hyperlink" Target="mailto:Timothydcrawford2012@gmail.com" TargetMode="External"/><Relationship Id="rId332" Type="http://schemas.openxmlformats.org/officeDocument/2006/relationships/hyperlink" Target="mailto:ganieda1012@gmail.com" TargetMode="External"/><Relationship Id="rId374" Type="http://schemas.openxmlformats.org/officeDocument/2006/relationships/hyperlink" Target="http://www.dailygammon.com/bg/user/36594" TargetMode="External"/><Relationship Id="rId71" Type="http://schemas.openxmlformats.org/officeDocument/2006/relationships/hyperlink" Target="http://www.dailygammon.com/bg/user/19680" TargetMode="External"/><Relationship Id="rId234" Type="http://schemas.openxmlformats.org/officeDocument/2006/relationships/hyperlink" Target="mailto:sbland@runbox.com" TargetMode="External"/><Relationship Id="rId2" Type="http://schemas.openxmlformats.org/officeDocument/2006/relationships/hyperlink" Target="http://www.dailygammon.com/bg/user/25562" TargetMode="External"/><Relationship Id="rId29" Type="http://schemas.openxmlformats.org/officeDocument/2006/relationships/hyperlink" Target="mailto:silvercilla@yahoo.se" TargetMode="External"/><Relationship Id="rId276" Type="http://schemas.openxmlformats.org/officeDocument/2006/relationships/hyperlink" Target="http://www.dailygammon.com/bg/user/37183" TargetMode="External"/><Relationship Id="rId441" Type="http://schemas.openxmlformats.org/officeDocument/2006/relationships/hyperlink" Target="http://www.dailygammon.com/bg/user/40029" TargetMode="External"/><Relationship Id="rId483" Type="http://schemas.openxmlformats.org/officeDocument/2006/relationships/hyperlink" Target="http://www.dailygammon.com/bg/user/21572" TargetMode="External"/><Relationship Id="rId539" Type="http://schemas.openxmlformats.org/officeDocument/2006/relationships/hyperlink" Target="mailto:Thomas@gelzhaeuser.de" TargetMode="External"/><Relationship Id="rId40" Type="http://schemas.openxmlformats.org/officeDocument/2006/relationships/hyperlink" Target="http://www.dailygammon.com/bg/user/31517" TargetMode="External"/><Relationship Id="rId136" Type="http://schemas.openxmlformats.org/officeDocument/2006/relationships/hyperlink" Target="http://www.dailygammon.com/bg/user/3678" TargetMode="External"/><Relationship Id="rId178" Type="http://schemas.openxmlformats.org/officeDocument/2006/relationships/hyperlink" Target="mailto:ldreyfus@ldf-avocats.fr" TargetMode="External"/><Relationship Id="rId301" Type="http://schemas.openxmlformats.org/officeDocument/2006/relationships/hyperlink" Target="mailto:elcobra@freenet.de" TargetMode="External"/><Relationship Id="rId343" Type="http://schemas.openxmlformats.org/officeDocument/2006/relationships/hyperlink" Target="mailto:jule@mailbox.org" TargetMode="External"/><Relationship Id="rId550" Type="http://schemas.openxmlformats.org/officeDocument/2006/relationships/hyperlink" Target="http://www.dailygammon.com/bg/user/8077" TargetMode="External"/><Relationship Id="rId82" Type="http://schemas.openxmlformats.org/officeDocument/2006/relationships/hyperlink" Target="http://www.dailygammon.com/bg/user/19453" TargetMode="External"/><Relationship Id="rId203" Type="http://schemas.openxmlformats.org/officeDocument/2006/relationships/hyperlink" Target="http://www.dailygammon.com/bg/user/21796" TargetMode="External"/><Relationship Id="rId385" Type="http://schemas.openxmlformats.org/officeDocument/2006/relationships/hyperlink" Target="http://www.dailygammon.com/bg/user/38828" TargetMode="External"/><Relationship Id="rId245" Type="http://schemas.openxmlformats.org/officeDocument/2006/relationships/hyperlink" Target="http://www.dailygammon.com/bg/user/33394" TargetMode="External"/><Relationship Id="rId287" Type="http://schemas.openxmlformats.org/officeDocument/2006/relationships/hyperlink" Target="http://www.dailygammon.com/bg/user/31952" TargetMode="External"/><Relationship Id="rId410" Type="http://schemas.openxmlformats.org/officeDocument/2006/relationships/hyperlink" Target="http://www.dailygammon.com/bg/user/26933" TargetMode="External"/><Relationship Id="rId452" Type="http://schemas.openxmlformats.org/officeDocument/2006/relationships/hyperlink" Target="http://www.dailygammon.com/bg/user/40365" TargetMode="External"/><Relationship Id="rId494" Type="http://schemas.openxmlformats.org/officeDocument/2006/relationships/hyperlink" Target="http://www.dailygammon.com/bg/top" TargetMode="External"/><Relationship Id="rId508" Type="http://schemas.openxmlformats.org/officeDocument/2006/relationships/hyperlink" Target="http://www.dailygammon.com/bg/top" TargetMode="External"/><Relationship Id="rId105" Type="http://schemas.openxmlformats.org/officeDocument/2006/relationships/hyperlink" Target="mailto:thomaskosak@gmx.de" TargetMode="External"/><Relationship Id="rId147" Type="http://schemas.openxmlformats.org/officeDocument/2006/relationships/hyperlink" Target="mailto:carol.griffsonline@gmail.com" TargetMode="External"/><Relationship Id="rId312" Type="http://schemas.openxmlformats.org/officeDocument/2006/relationships/hyperlink" Target="mailto:william.b.slade@gmail.com" TargetMode="External"/><Relationship Id="rId354" Type="http://schemas.openxmlformats.org/officeDocument/2006/relationships/hyperlink" Target="http://www.dailygammon.com/bg/user/1106" TargetMode="External"/><Relationship Id="rId51" Type="http://schemas.openxmlformats.org/officeDocument/2006/relationships/hyperlink" Target="mailto:chris@thunix.net" TargetMode="External"/><Relationship Id="rId93" Type="http://schemas.openxmlformats.org/officeDocument/2006/relationships/hyperlink" Target="http://www.dailygammon.com/bg/user/10907" TargetMode="External"/><Relationship Id="rId189" Type="http://schemas.openxmlformats.org/officeDocument/2006/relationships/hyperlink" Target="http://dailygammon.com/bg/user/33827" TargetMode="External"/><Relationship Id="rId396" Type="http://schemas.openxmlformats.org/officeDocument/2006/relationships/hyperlink" Target="http://www.dailygammon.com/bg/top" TargetMode="External"/><Relationship Id="rId214" Type="http://schemas.openxmlformats.org/officeDocument/2006/relationships/hyperlink" Target="http://www.dailygammon.com/bg/user/36118" TargetMode="External"/><Relationship Id="rId256" Type="http://schemas.openxmlformats.org/officeDocument/2006/relationships/hyperlink" Target="http://www.dailygammon.com/bg/user/2543" TargetMode="External"/><Relationship Id="rId298" Type="http://schemas.openxmlformats.org/officeDocument/2006/relationships/hyperlink" Target="http://www.dailygammon.com/bg/user/25013" TargetMode="External"/><Relationship Id="rId421" Type="http://schemas.openxmlformats.org/officeDocument/2006/relationships/hyperlink" Target="http://www.dailygammon.com/bg/user/30367" TargetMode="External"/><Relationship Id="rId463" Type="http://schemas.openxmlformats.org/officeDocument/2006/relationships/hyperlink" Target="mailto:MikeFujita@gmail.com" TargetMode="External"/><Relationship Id="rId519" Type="http://schemas.openxmlformats.org/officeDocument/2006/relationships/hyperlink" Target="http://www.dailygammon.com/bg/user/21083" TargetMode="External"/><Relationship Id="rId116" Type="http://schemas.openxmlformats.org/officeDocument/2006/relationships/hyperlink" Target="http://www.dailygammon.com/bg/user/22451" TargetMode="External"/><Relationship Id="rId158" Type="http://schemas.openxmlformats.org/officeDocument/2006/relationships/hyperlink" Target="mailto:argon.add@web.de" TargetMode="External"/><Relationship Id="rId323" Type="http://schemas.openxmlformats.org/officeDocument/2006/relationships/hyperlink" Target="mailto:bi.turz@gmail.com" TargetMode="External"/><Relationship Id="rId530" Type="http://schemas.openxmlformats.org/officeDocument/2006/relationships/hyperlink" Target="mailto:moeppel@me.com" TargetMode="External"/><Relationship Id="rId20" Type="http://schemas.openxmlformats.org/officeDocument/2006/relationships/hyperlink" Target="mailto:gutpet@yahoo.at" TargetMode="External"/><Relationship Id="rId62" Type="http://schemas.openxmlformats.org/officeDocument/2006/relationships/hyperlink" Target="http://www.dailygammon.com/bg/user/18751" TargetMode="External"/><Relationship Id="rId365" Type="http://schemas.openxmlformats.org/officeDocument/2006/relationships/hyperlink" Target="mailto:mattiasalm@hotmail.com" TargetMode="External"/><Relationship Id="rId225" Type="http://schemas.openxmlformats.org/officeDocument/2006/relationships/hyperlink" Target="http://www.dailygammon.com/bg/user/22385" TargetMode="External"/><Relationship Id="rId267" Type="http://schemas.openxmlformats.org/officeDocument/2006/relationships/hyperlink" Target="http://www.dailygammon.com/bg/user/16036" TargetMode="External"/><Relationship Id="rId432" Type="http://schemas.openxmlformats.org/officeDocument/2006/relationships/hyperlink" Target="mailto:l.a.u.r.a.h.b.k.1307@gmail.com" TargetMode="External"/><Relationship Id="rId474" Type="http://schemas.openxmlformats.org/officeDocument/2006/relationships/hyperlink" Target="http://www.dailygammon.com/bg/user/40722" TargetMode="External"/><Relationship Id="rId127" Type="http://schemas.openxmlformats.org/officeDocument/2006/relationships/hyperlink" Target="http://www.dailygammon.com/bg/user/4701" TargetMode="External"/><Relationship Id="rId31" Type="http://schemas.openxmlformats.org/officeDocument/2006/relationships/hyperlink" Target="http://www.dailygammon.com/bg/user/26890" TargetMode="External"/><Relationship Id="rId73" Type="http://schemas.openxmlformats.org/officeDocument/2006/relationships/hyperlink" Target="http://www.dailygammon.com/bg/user/32600" TargetMode="External"/><Relationship Id="rId169" Type="http://schemas.openxmlformats.org/officeDocument/2006/relationships/hyperlink" Target="http://dailygammon.com/bg/user/32831" TargetMode="External"/><Relationship Id="rId334" Type="http://schemas.openxmlformats.org/officeDocument/2006/relationships/hyperlink" Target="mailto:be.herwig@gmx.de" TargetMode="External"/><Relationship Id="rId376" Type="http://schemas.openxmlformats.org/officeDocument/2006/relationships/hyperlink" Target="http://www.dailygammon.com/bg/user/38369" TargetMode="External"/><Relationship Id="rId541" Type="http://schemas.openxmlformats.org/officeDocument/2006/relationships/hyperlink" Target="http://www.dailygammon.com/bg/user/24748" TargetMode="External"/><Relationship Id="rId4" Type="http://schemas.openxmlformats.org/officeDocument/2006/relationships/hyperlink" Target="http://www.dailygammon.com/bg/user/8171" TargetMode="External"/><Relationship Id="rId180" Type="http://schemas.openxmlformats.org/officeDocument/2006/relationships/hyperlink" Target="http://www.dailygammon.com/bg/user/18771" TargetMode="External"/><Relationship Id="rId236" Type="http://schemas.openxmlformats.org/officeDocument/2006/relationships/hyperlink" Target="http://www.dailygammon.com/bg/user/32423" TargetMode="External"/><Relationship Id="rId278" Type="http://schemas.openxmlformats.org/officeDocument/2006/relationships/hyperlink" Target="mailto:Frank.von.willert@gmail.com" TargetMode="External"/><Relationship Id="rId401" Type="http://schemas.openxmlformats.org/officeDocument/2006/relationships/hyperlink" Target="http://www.dailygammon.com/bg/user/28804" TargetMode="External"/><Relationship Id="rId443" Type="http://schemas.openxmlformats.org/officeDocument/2006/relationships/hyperlink" Target="mailto:Mjq3211q@gmail.com" TargetMode="External"/><Relationship Id="rId303" Type="http://schemas.openxmlformats.org/officeDocument/2006/relationships/hyperlink" Target="mailto:a.pouferas@bigpond.com" TargetMode="External"/><Relationship Id="rId485" Type="http://schemas.openxmlformats.org/officeDocument/2006/relationships/hyperlink" Target="http://www.dailygammon.com/bg/user/13175" TargetMode="External"/><Relationship Id="rId42" Type="http://schemas.openxmlformats.org/officeDocument/2006/relationships/hyperlink" Target="http://www.dailygammon.com/bg/user/22426" TargetMode="External"/><Relationship Id="rId84" Type="http://schemas.openxmlformats.org/officeDocument/2006/relationships/hyperlink" Target="http://www.dailygammon.com/bg/user/18530" TargetMode="External"/><Relationship Id="rId138" Type="http://schemas.openxmlformats.org/officeDocument/2006/relationships/hyperlink" Target="http://www.dailygammon.com/bg/user/28181" TargetMode="External"/><Relationship Id="rId345" Type="http://schemas.openxmlformats.org/officeDocument/2006/relationships/hyperlink" Target="http://dailygammon.com/bg/user/23763" TargetMode="External"/><Relationship Id="rId387" Type="http://schemas.openxmlformats.org/officeDocument/2006/relationships/hyperlink" Target="http://www.dailygammon.com/bg/top" TargetMode="External"/><Relationship Id="rId510" Type="http://schemas.openxmlformats.org/officeDocument/2006/relationships/hyperlink" Target="http://www.dailygammon.com/bg/user/225" TargetMode="External"/><Relationship Id="rId552" Type="http://schemas.openxmlformats.org/officeDocument/2006/relationships/hyperlink" Target="mailto:j1moyer@aol.com" TargetMode="External"/><Relationship Id="rId191" Type="http://schemas.openxmlformats.org/officeDocument/2006/relationships/hyperlink" Target="mailto:ut@tecknet.de" TargetMode="External"/><Relationship Id="rId205" Type="http://schemas.openxmlformats.org/officeDocument/2006/relationships/hyperlink" Target="http://www.dailygammon.com/bg/user/24353" TargetMode="External"/><Relationship Id="rId247" Type="http://schemas.openxmlformats.org/officeDocument/2006/relationships/hyperlink" Target="http://www.dailygammon.com/bg/user/21067" TargetMode="External"/><Relationship Id="rId412" Type="http://schemas.openxmlformats.org/officeDocument/2006/relationships/hyperlink" Target="http://www.dailygammon.com/bg/user/39451" TargetMode="External"/><Relationship Id="rId107" Type="http://schemas.openxmlformats.org/officeDocument/2006/relationships/hyperlink" Target="mailto:d.sudowe@googlemail.com" TargetMode="External"/><Relationship Id="rId289" Type="http://schemas.openxmlformats.org/officeDocument/2006/relationships/hyperlink" Target="http://www.dailygammon.com/bg/user/22451" TargetMode="External"/><Relationship Id="rId454" Type="http://schemas.openxmlformats.org/officeDocument/2006/relationships/hyperlink" Target="mailto:y.heise@aol.com" TargetMode="External"/><Relationship Id="rId496" Type="http://schemas.openxmlformats.org/officeDocument/2006/relationships/hyperlink" Target="http://www.dailygammon.com/bg/user/36610" TargetMode="External"/><Relationship Id="rId11" Type="http://schemas.openxmlformats.org/officeDocument/2006/relationships/hyperlink" Target="mailto:tony.eatough@hey.com" TargetMode="External"/><Relationship Id="rId53" Type="http://schemas.openxmlformats.org/officeDocument/2006/relationships/hyperlink" Target="http://www.dailygammon.com/bg/user/32604" TargetMode="External"/><Relationship Id="rId149" Type="http://schemas.openxmlformats.org/officeDocument/2006/relationships/hyperlink" Target="http://www.dailygammon.com/bg/user/21950" TargetMode="External"/><Relationship Id="rId314" Type="http://schemas.openxmlformats.org/officeDocument/2006/relationships/hyperlink" Target="mailto:izzakk@gmail.com" TargetMode="External"/><Relationship Id="rId356" Type="http://schemas.openxmlformats.org/officeDocument/2006/relationships/hyperlink" Target="http://www.dailygammon.com/bg/user/15331" TargetMode="External"/><Relationship Id="rId398" Type="http://schemas.openxmlformats.org/officeDocument/2006/relationships/hyperlink" Target="http://www.dailygammon.com/bg/user/19078" TargetMode="External"/><Relationship Id="rId521" Type="http://schemas.openxmlformats.org/officeDocument/2006/relationships/hyperlink" Target="http://www.dailygammon.com/bg/top" TargetMode="External"/><Relationship Id="rId95" Type="http://schemas.openxmlformats.org/officeDocument/2006/relationships/hyperlink" Target="http://www.dailygammon.com/bg/user/14546" TargetMode="External"/><Relationship Id="rId160" Type="http://schemas.openxmlformats.org/officeDocument/2006/relationships/hyperlink" Target="mailto:69sandman@libero.it" TargetMode="External"/><Relationship Id="rId216" Type="http://schemas.openxmlformats.org/officeDocument/2006/relationships/hyperlink" Target="http://www.dailygammon.com/bg/user/37422" TargetMode="External"/><Relationship Id="rId423" Type="http://schemas.openxmlformats.org/officeDocument/2006/relationships/hyperlink" Target="http://www.dailygammon.com/bg/user/30367" TargetMode="External"/><Relationship Id="rId258" Type="http://schemas.openxmlformats.org/officeDocument/2006/relationships/hyperlink" Target="http://www.dailygammon.com/bg/user/21200" TargetMode="External"/><Relationship Id="rId465" Type="http://schemas.openxmlformats.org/officeDocument/2006/relationships/hyperlink" Target="http://www.dailygammon.com/bg/user/313" TargetMode="External"/><Relationship Id="rId22" Type="http://schemas.openxmlformats.org/officeDocument/2006/relationships/hyperlink" Target="mailto:lazartchouk@yahoo.com" TargetMode="External"/><Relationship Id="rId64" Type="http://schemas.openxmlformats.org/officeDocument/2006/relationships/hyperlink" Target="http://www.dailygammon.com/bg/user/25765" TargetMode="External"/><Relationship Id="rId118" Type="http://schemas.openxmlformats.org/officeDocument/2006/relationships/hyperlink" Target="http://www.dailygammon.com/bg/user/21605" TargetMode="External"/><Relationship Id="rId325" Type="http://schemas.openxmlformats.org/officeDocument/2006/relationships/hyperlink" Target="mailto:pickashop@hotmail.com" TargetMode="External"/><Relationship Id="rId367" Type="http://schemas.openxmlformats.org/officeDocument/2006/relationships/hyperlink" Target="http://www.dailygammon.com/bg/user/15774" TargetMode="External"/><Relationship Id="rId532" Type="http://schemas.openxmlformats.org/officeDocument/2006/relationships/hyperlink" Target="http://www.dailygammon.com/bg/user/41606" TargetMode="External"/><Relationship Id="rId171" Type="http://schemas.openxmlformats.org/officeDocument/2006/relationships/hyperlink" Target="http://dailygammon.com/bg/user/32831" TargetMode="External"/><Relationship Id="rId227" Type="http://schemas.openxmlformats.org/officeDocument/2006/relationships/hyperlink" Target="mailto:boce@yandex.ru" TargetMode="External"/><Relationship Id="rId269" Type="http://schemas.openxmlformats.org/officeDocument/2006/relationships/hyperlink" Target="http://www.dailygammon.com/bg/user/33060" TargetMode="External"/><Relationship Id="rId434" Type="http://schemas.openxmlformats.org/officeDocument/2006/relationships/hyperlink" Target="http://www.dailygammon.com/bg/user/40111" TargetMode="External"/><Relationship Id="rId476" Type="http://schemas.openxmlformats.org/officeDocument/2006/relationships/hyperlink" Target="http://www.dailygammon.com/bg/user/17507" TargetMode="External"/><Relationship Id="rId33" Type="http://schemas.openxmlformats.org/officeDocument/2006/relationships/hyperlink" Target="http://www.dailygammon.com/bg/user/12968" TargetMode="External"/><Relationship Id="rId129" Type="http://schemas.openxmlformats.org/officeDocument/2006/relationships/hyperlink" Target="http://www.dailygammon.com/bg/user/24760" TargetMode="External"/><Relationship Id="rId280" Type="http://schemas.openxmlformats.org/officeDocument/2006/relationships/hyperlink" Target="http://www.dailygammon.com/bg/user/23659" TargetMode="External"/><Relationship Id="rId336" Type="http://schemas.openxmlformats.org/officeDocument/2006/relationships/hyperlink" Target="http://www.dailygammon.com/bg/user/17801" TargetMode="External"/><Relationship Id="rId501" Type="http://schemas.openxmlformats.org/officeDocument/2006/relationships/hyperlink" Target="http://www.dailygammon.com/bg/top" TargetMode="External"/><Relationship Id="rId543" Type="http://schemas.openxmlformats.org/officeDocument/2006/relationships/hyperlink" Target="mailto:sound.nicer.dicer@spreegermanen.de" TargetMode="External"/><Relationship Id="rId75" Type="http://schemas.openxmlformats.org/officeDocument/2006/relationships/hyperlink" Target="http://www.dailygammon.com/bg/user/1070" TargetMode="External"/><Relationship Id="rId140" Type="http://schemas.openxmlformats.org/officeDocument/2006/relationships/hyperlink" Target="http://www.dailygammon.com/bg/user/33114" TargetMode="External"/><Relationship Id="rId182" Type="http://schemas.openxmlformats.org/officeDocument/2006/relationships/hyperlink" Target="http://www.dailygammon.com/bg/user/4692" TargetMode="External"/><Relationship Id="rId378" Type="http://schemas.openxmlformats.org/officeDocument/2006/relationships/hyperlink" Target="mailto:paulcaesar@gmail.com" TargetMode="External"/><Relationship Id="rId403" Type="http://schemas.openxmlformats.org/officeDocument/2006/relationships/hyperlink" Target="http://www.dailygammon.com/bg/top" TargetMode="External"/><Relationship Id="rId6" Type="http://schemas.openxmlformats.org/officeDocument/2006/relationships/hyperlink" Target="http://www.dailygammon.com/bg/user/28532" TargetMode="External"/><Relationship Id="rId238" Type="http://schemas.openxmlformats.org/officeDocument/2006/relationships/hyperlink" Target="mailto:robbob103@gmail.com" TargetMode="External"/><Relationship Id="rId445" Type="http://schemas.openxmlformats.org/officeDocument/2006/relationships/hyperlink" Target="http://www.dailygammon.com/bg/top" TargetMode="External"/><Relationship Id="rId487" Type="http://schemas.openxmlformats.org/officeDocument/2006/relationships/hyperlink" Target="mailto:bloodaxxe@gmail.com" TargetMode="External"/><Relationship Id="rId291" Type="http://schemas.openxmlformats.org/officeDocument/2006/relationships/hyperlink" Target="http://www.dailygammon.com/bg/user/32667" TargetMode="External"/><Relationship Id="rId305" Type="http://schemas.openxmlformats.org/officeDocument/2006/relationships/hyperlink" Target="mailto:Ulrich-stolz@web.de" TargetMode="External"/><Relationship Id="rId347" Type="http://schemas.openxmlformats.org/officeDocument/2006/relationships/hyperlink" Target="mailto:Ich4one@gmail.com" TargetMode="External"/><Relationship Id="rId512" Type="http://schemas.openxmlformats.org/officeDocument/2006/relationships/hyperlink" Target="http://www.dailygammon.com/bg/top" TargetMode="External"/><Relationship Id="rId44" Type="http://schemas.openxmlformats.org/officeDocument/2006/relationships/hyperlink" Target="http://www.dailygammon.com/bg/user/32442" TargetMode="External"/><Relationship Id="rId86" Type="http://schemas.openxmlformats.org/officeDocument/2006/relationships/hyperlink" Target="mailto:ericwestbrook@btinternet.com" TargetMode="External"/><Relationship Id="rId151" Type="http://schemas.openxmlformats.org/officeDocument/2006/relationships/hyperlink" Target="mailto:uforobban@hotmail.com" TargetMode="External"/><Relationship Id="rId389" Type="http://schemas.openxmlformats.org/officeDocument/2006/relationships/hyperlink" Target="http://www.dailygammon.com/bg/top" TargetMode="External"/><Relationship Id="rId193" Type="http://schemas.openxmlformats.org/officeDocument/2006/relationships/hyperlink" Target="http://www.dailygammon.com/bg/user/20617" TargetMode="External"/><Relationship Id="rId207" Type="http://schemas.openxmlformats.org/officeDocument/2006/relationships/hyperlink" Target="http://www.dailygammon.com/bg/user/32125" TargetMode="External"/><Relationship Id="rId249" Type="http://schemas.openxmlformats.org/officeDocument/2006/relationships/hyperlink" Target="http://www.dailygammon.com/bg/user/10812" TargetMode="External"/><Relationship Id="rId414" Type="http://schemas.openxmlformats.org/officeDocument/2006/relationships/hyperlink" Target="mailto:msprojects@gmx.com" TargetMode="External"/><Relationship Id="rId456" Type="http://schemas.openxmlformats.org/officeDocument/2006/relationships/hyperlink" Target="http://www.dailygammon.com/bg/top" TargetMode="External"/><Relationship Id="rId498" Type="http://schemas.openxmlformats.org/officeDocument/2006/relationships/hyperlink" Target="mailto:jebediasmie@gmail.com" TargetMode="External"/><Relationship Id="rId13" Type="http://schemas.openxmlformats.org/officeDocument/2006/relationships/hyperlink" Target="mailto:tibor.dekany@pcnetwork.ch" TargetMode="External"/><Relationship Id="rId109" Type="http://schemas.openxmlformats.org/officeDocument/2006/relationships/hyperlink" Target="mailto:jhdoughty180@gmail.com" TargetMode="External"/><Relationship Id="rId260" Type="http://schemas.openxmlformats.org/officeDocument/2006/relationships/hyperlink" Target="mailto:xsive.greg@gmail.com" TargetMode="External"/><Relationship Id="rId316" Type="http://schemas.openxmlformats.org/officeDocument/2006/relationships/hyperlink" Target="mailto:peter@goberl.de" TargetMode="External"/><Relationship Id="rId523" Type="http://schemas.openxmlformats.org/officeDocument/2006/relationships/hyperlink" Target="http://www.dailygammon.com/bg/user/23180" TargetMode="External"/><Relationship Id="rId55" Type="http://schemas.openxmlformats.org/officeDocument/2006/relationships/hyperlink" Target="http://www.dailygammon.com/bg/user/22809" TargetMode="External"/><Relationship Id="rId97" Type="http://schemas.openxmlformats.org/officeDocument/2006/relationships/hyperlink" Target="http://www.dailygammon.com/bg/user/3792" TargetMode="External"/><Relationship Id="rId120" Type="http://schemas.openxmlformats.org/officeDocument/2006/relationships/hyperlink" Target="http://www.dailygammon.com/bg/user/28783" TargetMode="External"/><Relationship Id="rId358" Type="http://schemas.openxmlformats.org/officeDocument/2006/relationships/hyperlink" Target="http://www.dailygammon.com/bg/user/2685" TargetMode="External"/><Relationship Id="rId162" Type="http://schemas.openxmlformats.org/officeDocument/2006/relationships/hyperlink" Target="mailto:edwin@mycronet.de" TargetMode="External"/><Relationship Id="rId218" Type="http://schemas.openxmlformats.org/officeDocument/2006/relationships/hyperlink" Target="mailto:druesenhieb@gmail.com" TargetMode="External"/><Relationship Id="rId425" Type="http://schemas.openxmlformats.org/officeDocument/2006/relationships/hyperlink" Target="http://www.dailygammon.com/bg/user/21572" TargetMode="External"/><Relationship Id="rId467" Type="http://schemas.openxmlformats.org/officeDocument/2006/relationships/hyperlink" Target="mailto:t1tpfdc@gmail.com" TargetMode="External"/><Relationship Id="rId271" Type="http://schemas.openxmlformats.org/officeDocument/2006/relationships/hyperlink" Target="mailto:guggins93@hotmail.com" TargetMode="External"/><Relationship Id="rId24" Type="http://schemas.openxmlformats.org/officeDocument/2006/relationships/hyperlink" Target="http://www.dailygammon.com/bg/user/26739" TargetMode="External"/><Relationship Id="rId66" Type="http://schemas.openxmlformats.org/officeDocument/2006/relationships/hyperlink" Target="http://www.dailygammon.com/bg/user/18243" TargetMode="External"/><Relationship Id="rId131" Type="http://schemas.openxmlformats.org/officeDocument/2006/relationships/hyperlink" Target="http://www.dailygammon.com/bg/user/21648" TargetMode="External"/><Relationship Id="rId327" Type="http://schemas.openxmlformats.org/officeDocument/2006/relationships/hyperlink" Target="mailto:freddiesorensen@outlook.com" TargetMode="External"/><Relationship Id="rId369" Type="http://schemas.openxmlformats.org/officeDocument/2006/relationships/hyperlink" Target="http://www.dailygammon.com/bg/user/8801" TargetMode="External"/><Relationship Id="rId534" Type="http://schemas.openxmlformats.org/officeDocument/2006/relationships/hyperlink" Target="mailto:cchungnc@gmail.com" TargetMode="External"/><Relationship Id="rId173" Type="http://schemas.openxmlformats.org/officeDocument/2006/relationships/hyperlink" Target="http://www.dailygammon.com/bg/user/30835" TargetMode="External"/><Relationship Id="rId229" Type="http://schemas.openxmlformats.org/officeDocument/2006/relationships/hyperlink" Target="http://www.dailygammon.com/bg/user/28712" TargetMode="External"/><Relationship Id="rId380" Type="http://schemas.openxmlformats.org/officeDocument/2006/relationships/hyperlink" Target="http://www.dailygammon.com/bg/user/16354" TargetMode="External"/><Relationship Id="rId436" Type="http://schemas.openxmlformats.org/officeDocument/2006/relationships/hyperlink" Target="http://www.dailygammon.com/bg/user/1" TargetMode="External"/><Relationship Id="rId240" Type="http://schemas.openxmlformats.org/officeDocument/2006/relationships/hyperlink" Target="http://www.dailygammon.com/bg/user/5192" TargetMode="External"/><Relationship Id="rId478" Type="http://schemas.openxmlformats.org/officeDocument/2006/relationships/hyperlink" Target="mailto:Frank.poersch@web.de" TargetMode="External"/><Relationship Id="rId35" Type="http://schemas.openxmlformats.org/officeDocument/2006/relationships/hyperlink" Target="http://www.dailygammon.com/bg/user/26839" TargetMode="External"/><Relationship Id="rId77" Type="http://schemas.openxmlformats.org/officeDocument/2006/relationships/hyperlink" Target="mailto:c.lems@consultimex.com" TargetMode="External"/><Relationship Id="rId100" Type="http://schemas.openxmlformats.org/officeDocument/2006/relationships/hyperlink" Target="mailto:beldarren@ozemail.com.au" TargetMode="External"/><Relationship Id="rId282" Type="http://schemas.openxmlformats.org/officeDocument/2006/relationships/hyperlink" Target="mailto:tberki77@gmail.com" TargetMode="External"/><Relationship Id="rId338" Type="http://schemas.openxmlformats.org/officeDocument/2006/relationships/hyperlink" Target="http://www.dailygammon.com/bg/user/25188" TargetMode="External"/><Relationship Id="rId503" Type="http://schemas.openxmlformats.org/officeDocument/2006/relationships/hyperlink" Target="http://www.dailygammon.com/bg/user/41076" TargetMode="External"/><Relationship Id="rId545" Type="http://schemas.openxmlformats.org/officeDocument/2006/relationships/hyperlink" Target="http://dailygammon.com/bg/user/42202" TargetMode="External"/><Relationship Id="rId8" Type="http://schemas.openxmlformats.org/officeDocument/2006/relationships/hyperlink" Target="http://www.dailygammon.com/bg/user/3719" TargetMode="External"/><Relationship Id="rId142" Type="http://schemas.openxmlformats.org/officeDocument/2006/relationships/hyperlink" Target="http://www.dailygammon.com/bg/user/25188" TargetMode="External"/><Relationship Id="rId184" Type="http://schemas.openxmlformats.org/officeDocument/2006/relationships/hyperlink" Target="http://www.dailygammon.com/bg/user/31065" TargetMode="External"/><Relationship Id="rId391" Type="http://schemas.openxmlformats.org/officeDocument/2006/relationships/hyperlink" Target="http://www.dailygammon.com/bg/user/7477" TargetMode="External"/><Relationship Id="rId405" Type="http://schemas.openxmlformats.org/officeDocument/2006/relationships/hyperlink" Target="http://dailygammon.com/bg/user/34182" TargetMode="External"/><Relationship Id="rId447" Type="http://schemas.openxmlformats.org/officeDocument/2006/relationships/hyperlink" Target="http://www.dailygammon.com/bg/user/29498" TargetMode="External"/><Relationship Id="rId251" Type="http://schemas.openxmlformats.org/officeDocument/2006/relationships/hyperlink" Target="http://www.dailygammon.com/bg/user/37706" TargetMode="External"/><Relationship Id="rId489" Type="http://schemas.openxmlformats.org/officeDocument/2006/relationships/hyperlink" Target="http://www.dailygammon.com/bg/user/18758" TargetMode="External"/><Relationship Id="rId46" Type="http://schemas.openxmlformats.org/officeDocument/2006/relationships/hyperlink" Target="http://www.dailygammon.com/bg/user/13263" TargetMode="External"/><Relationship Id="rId293" Type="http://schemas.openxmlformats.org/officeDocument/2006/relationships/hyperlink" Target="http://www.dailygammon.com/bg/user/14990" TargetMode="External"/><Relationship Id="rId307" Type="http://schemas.openxmlformats.org/officeDocument/2006/relationships/hyperlink" Target="mailto:christian.haenssel@kabelmail.de" TargetMode="External"/><Relationship Id="rId349" Type="http://schemas.openxmlformats.org/officeDocument/2006/relationships/hyperlink" Target="http://dailygammon.com/bg/user/22269" TargetMode="External"/><Relationship Id="rId514" Type="http://schemas.openxmlformats.org/officeDocument/2006/relationships/hyperlink" Target="http://www.dailygammon.com/bg/user/41626" TargetMode="External"/><Relationship Id="rId88" Type="http://schemas.openxmlformats.org/officeDocument/2006/relationships/hyperlink" Target="mailto:alexh307@gmail.com" TargetMode="External"/><Relationship Id="rId111" Type="http://schemas.openxmlformats.org/officeDocument/2006/relationships/hyperlink" Target="mailto:wrigley@xtra.co.nz" TargetMode="External"/><Relationship Id="rId153" Type="http://schemas.openxmlformats.org/officeDocument/2006/relationships/hyperlink" Target="mailto:Kino-1975@yandex.ru" TargetMode="External"/><Relationship Id="rId195" Type="http://schemas.openxmlformats.org/officeDocument/2006/relationships/hyperlink" Target="http://www.dailygammon.com/bg/user/28181" TargetMode="External"/><Relationship Id="rId209" Type="http://schemas.openxmlformats.org/officeDocument/2006/relationships/hyperlink" Target="http://www.dailygammon.com/bg/user/12166" TargetMode="External"/><Relationship Id="rId360" Type="http://schemas.openxmlformats.org/officeDocument/2006/relationships/hyperlink" Target="http://www.dailygammon.com/bg/user/21821" TargetMode="External"/><Relationship Id="rId416" Type="http://schemas.openxmlformats.org/officeDocument/2006/relationships/hyperlink" Target="mailto:redfly@iafrica.com" TargetMode="External"/><Relationship Id="rId220" Type="http://schemas.openxmlformats.org/officeDocument/2006/relationships/hyperlink" Target="http://www.dailygammon.com/bg/user/16338" TargetMode="External"/><Relationship Id="rId458" Type="http://schemas.openxmlformats.org/officeDocument/2006/relationships/hyperlink" Target="http://www.dailygammon.com/bg/user/12220" TargetMode="External"/><Relationship Id="rId15" Type="http://schemas.openxmlformats.org/officeDocument/2006/relationships/hyperlink" Target="mailto:mhc718@hotmail.com" TargetMode="External"/><Relationship Id="rId57" Type="http://schemas.openxmlformats.org/officeDocument/2006/relationships/hyperlink" Target="http://www.dailygammon.com/bg/user/17909" TargetMode="External"/><Relationship Id="rId262" Type="http://schemas.openxmlformats.org/officeDocument/2006/relationships/hyperlink" Target="http://www.dailygammon.com/bg/user/10304" TargetMode="External"/><Relationship Id="rId318" Type="http://schemas.openxmlformats.org/officeDocument/2006/relationships/hyperlink" Target="mailto:joschek1@bluewin.ch" TargetMode="External"/><Relationship Id="rId525" Type="http://schemas.openxmlformats.org/officeDocument/2006/relationships/hyperlink" Target="http://dailygammon.com/bg/user/36756" TargetMode="External"/><Relationship Id="rId99" Type="http://schemas.openxmlformats.org/officeDocument/2006/relationships/hyperlink" Target="mailto:tochev71@abv.bg" TargetMode="External"/><Relationship Id="rId122" Type="http://schemas.openxmlformats.org/officeDocument/2006/relationships/hyperlink" Target="http://www.dailygammon.com/bg/user/21218" TargetMode="External"/><Relationship Id="rId164" Type="http://schemas.openxmlformats.org/officeDocument/2006/relationships/hyperlink" Target="http://www.dailygammon.com/bg/user/37328" TargetMode="External"/><Relationship Id="rId371" Type="http://schemas.openxmlformats.org/officeDocument/2006/relationships/hyperlink" Target="mailto:richter4519716@gmail.com" TargetMode="External"/><Relationship Id="rId427" Type="http://schemas.openxmlformats.org/officeDocument/2006/relationships/hyperlink" Target="http://www.dailygammon.com/bg/top" TargetMode="External"/><Relationship Id="rId469" Type="http://schemas.openxmlformats.org/officeDocument/2006/relationships/hyperlink" Target="http://www.dailygammon.com/bg/top" TargetMode="External"/><Relationship Id="rId26" Type="http://schemas.openxmlformats.org/officeDocument/2006/relationships/hyperlink" Target="http://www.dailygammon.com/bg/user/28600" TargetMode="External"/><Relationship Id="rId231" Type="http://schemas.openxmlformats.org/officeDocument/2006/relationships/hyperlink" Target="mailto:egistas@yahoo.com" TargetMode="External"/><Relationship Id="rId273" Type="http://schemas.openxmlformats.org/officeDocument/2006/relationships/hyperlink" Target="mailto:edchessman@gmail.com" TargetMode="External"/><Relationship Id="rId329" Type="http://schemas.openxmlformats.org/officeDocument/2006/relationships/hyperlink" Target="mailto:deanafawcett@btopenworld.com" TargetMode="External"/><Relationship Id="rId480" Type="http://schemas.openxmlformats.org/officeDocument/2006/relationships/hyperlink" Target="http://www.dailygammon.com/bg/user/28142" TargetMode="External"/><Relationship Id="rId536" Type="http://schemas.openxmlformats.org/officeDocument/2006/relationships/hyperlink" Target="http://www.dailygammon.com/bg/user/40044" TargetMode="External"/><Relationship Id="rId68" Type="http://schemas.openxmlformats.org/officeDocument/2006/relationships/hyperlink" Target="http://www.dailygammon.com/bg/user/6282" TargetMode="External"/><Relationship Id="rId133" Type="http://schemas.openxmlformats.org/officeDocument/2006/relationships/hyperlink" Target="http://www.dailygammon.com/bg/user/21796" TargetMode="External"/><Relationship Id="rId175" Type="http://schemas.openxmlformats.org/officeDocument/2006/relationships/hyperlink" Target="mailto:paul_richter1@yahoo.com" TargetMode="External"/><Relationship Id="rId340" Type="http://schemas.openxmlformats.org/officeDocument/2006/relationships/hyperlink" Target="http://www.dailygammon.com/bg/user/24760" TargetMode="External"/><Relationship Id="rId200" Type="http://schemas.openxmlformats.org/officeDocument/2006/relationships/hyperlink" Target="http://www.dailygammon.com/bg/user/31552" TargetMode="External"/><Relationship Id="rId382" Type="http://schemas.openxmlformats.org/officeDocument/2006/relationships/hyperlink" Target="http://www.dailygammon.com/bg/user/38806" TargetMode="External"/><Relationship Id="rId438" Type="http://schemas.openxmlformats.org/officeDocument/2006/relationships/hyperlink" Target="http://www.dailygammon.com/bg/top" TargetMode="External"/><Relationship Id="rId242" Type="http://schemas.openxmlformats.org/officeDocument/2006/relationships/hyperlink" Target="http://www.dailygammon.com/bg/user/24149" TargetMode="External"/><Relationship Id="rId284" Type="http://schemas.openxmlformats.org/officeDocument/2006/relationships/hyperlink" Target="mailto:barnabas.helmajer@gmail.com" TargetMode="External"/><Relationship Id="rId491" Type="http://schemas.openxmlformats.org/officeDocument/2006/relationships/hyperlink" Target="mailto:Susanni@gmx.de" TargetMode="External"/><Relationship Id="rId505" Type="http://schemas.openxmlformats.org/officeDocument/2006/relationships/hyperlink" Target="http://www.dailygammon.com/bg/user/40722" TargetMode="External"/><Relationship Id="rId37" Type="http://schemas.openxmlformats.org/officeDocument/2006/relationships/hyperlink" Target="mailto:erwin.hom@gmail.com" TargetMode="External"/><Relationship Id="rId79" Type="http://schemas.openxmlformats.org/officeDocument/2006/relationships/hyperlink" Target="http://www.dailygammon.com/bg/user/30811" TargetMode="External"/><Relationship Id="rId102" Type="http://schemas.openxmlformats.org/officeDocument/2006/relationships/hyperlink" Target="mailto:heidi_b@posteo.de" TargetMode="External"/><Relationship Id="rId144" Type="http://schemas.openxmlformats.org/officeDocument/2006/relationships/hyperlink" Target="http://www.dailygammon.com/bg/user/30903" TargetMode="External"/><Relationship Id="rId547" Type="http://schemas.openxmlformats.org/officeDocument/2006/relationships/hyperlink" Target="mailto:paul.tvetenstrand@dentons.com" TargetMode="External"/><Relationship Id="rId90" Type="http://schemas.openxmlformats.org/officeDocument/2006/relationships/hyperlink" Target="mailto:marstrander.anders@gmail.com" TargetMode="External"/><Relationship Id="rId186" Type="http://schemas.openxmlformats.org/officeDocument/2006/relationships/hyperlink" Target="http://www.dailygammon.com/bg/user/35052" TargetMode="External"/><Relationship Id="rId351" Type="http://schemas.openxmlformats.org/officeDocument/2006/relationships/hyperlink" Target="http://dailygammon.com/bg/user/30175" TargetMode="External"/><Relationship Id="rId393" Type="http://schemas.openxmlformats.org/officeDocument/2006/relationships/hyperlink" Target="http://www.dailygammon.com/bg/top" TargetMode="External"/><Relationship Id="rId407" Type="http://schemas.openxmlformats.org/officeDocument/2006/relationships/hyperlink" Target="http://www.dailygammon.com/bg/top" TargetMode="External"/><Relationship Id="rId449" Type="http://schemas.openxmlformats.org/officeDocument/2006/relationships/hyperlink" Target="http://www.dailygammon.com/bg/user/39590" TargetMode="External"/><Relationship Id="rId211" Type="http://schemas.openxmlformats.org/officeDocument/2006/relationships/hyperlink" Target="http://www.dailygammon.com/bg/user/21584" TargetMode="External"/><Relationship Id="rId253" Type="http://schemas.openxmlformats.org/officeDocument/2006/relationships/hyperlink" Target="http://www.dailygammon.com/bg/user/296" TargetMode="External"/><Relationship Id="rId295" Type="http://schemas.openxmlformats.org/officeDocument/2006/relationships/hyperlink" Target="http://www.dailygammon.com/bg/user/33328" TargetMode="External"/><Relationship Id="rId309" Type="http://schemas.openxmlformats.org/officeDocument/2006/relationships/hyperlink" Target="mailto:julia.hayward@btconnect.com" TargetMode="External"/><Relationship Id="rId460" Type="http://schemas.openxmlformats.org/officeDocument/2006/relationships/hyperlink" Target="http://www.dailygammon.com/bg/top" TargetMode="External"/><Relationship Id="rId516" Type="http://schemas.openxmlformats.org/officeDocument/2006/relationships/hyperlink" Target="mailto:jholmertz@yahoo.se" TargetMode="External"/><Relationship Id="rId48" Type="http://schemas.openxmlformats.org/officeDocument/2006/relationships/hyperlink" Target="mailto:wjg@wgraml.de" TargetMode="External"/><Relationship Id="rId113" Type="http://schemas.openxmlformats.org/officeDocument/2006/relationships/hyperlink" Target="mailto:walter@graml.de" TargetMode="External"/><Relationship Id="rId320" Type="http://schemas.openxmlformats.org/officeDocument/2006/relationships/hyperlink" Target="mailto:madmarc72@gmail.com" TargetMode="External"/><Relationship Id="rId155" Type="http://schemas.openxmlformats.org/officeDocument/2006/relationships/hyperlink" Target="http://www.dailygammon.com/bg/user/14990" TargetMode="External"/><Relationship Id="rId197" Type="http://schemas.openxmlformats.org/officeDocument/2006/relationships/hyperlink" Target="http://www.dailygammon.com/bg/user/18993" TargetMode="External"/><Relationship Id="rId362" Type="http://schemas.openxmlformats.org/officeDocument/2006/relationships/hyperlink" Target="mailto:kvcs_jzsf@yahoo.co.uk" TargetMode="External"/><Relationship Id="rId418" Type="http://schemas.openxmlformats.org/officeDocument/2006/relationships/hyperlink" Target="http://www.dailygammon.com/bg/user/19359" TargetMode="External"/><Relationship Id="rId222" Type="http://schemas.openxmlformats.org/officeDocument/2006/relationships/hyperlink" Target="mailto:double4@neuf.fr" TargetMode="External"/><Relationship Id="rId264" Type="http://schemas.openxmlformats.org/officeDocument/2006/relationships/hyperlink" Target="http://www.dailygammon.com/bg/user/3387" TargetMode="External"/><Relationship Id="rId471" Type="http://schemas.openxmlformats.org/officeDocument/2006/relationships/hyperlink" Target="http://www.dailygammon.com/bg/user/40804" TargetMode="External"/><Relationship Id="rId17" Type="http://schemas.openxmlformats.org/officeDocument/2006/relationships/hyperlink" Target="mailto:oldehippy@gmail.com" TargetMode="External"/><Relationship Id="rId59" Type="http://schemas.openxmlformats.org/officeDocument/2006/relationships/hyperlink" Target="http://www.dailygammon.com/bg/user/3787" TargetMode="External"/><Relationship Id="rId124" Type="http://schemas.openxmlformats.org/officeDocument/2006/relationships/hyperlink" Target="http://www.dailygammon.com/bg/user/29269" TargetMode="External"/><Relationship Id="rId527" Type="http://schemas.openxmlformats.org/officeDocument/2006/relationships/hyperlink" Target="http://www.dailygammon.com/bg/user/435" TargetMode="External"/><Relationship Id="rId70" Type="http://schemas.openxmlformats.org/officeDocument/2006/relationships/hyperlink" Target="http://www.dailygammon.com/bg/user/12507" TargetMode="External"/><Relationship Id="rId166" Type="http://schemas.openxmlformats.org/officeDocument/2006/relationships/hyperlink" Target="http://www.dailygammon.com/bg/user/37422" TargetMode="External"/><Relationship Id="rId331" Type="http://schemas.openxmlformats.org/officeDocument/2006/relationships/hyperlink" Target="mailto:liamleech1@gmail.com" TargetMode="External"/><Relationship Id="rId373" Type="http://schemas.openxmlformats.org/officeDocument/2006/relationships/hyperlink" Target="http://www.dailygammon.com/bg/user/36594" TargetMode="External"/><Relationship Id="rId429" Type="http://schemas.openxmlformats.org/officeDocument/2006/relationships/hyperlink" Target="mailto:dave.treacy@talk21.com" TargetMode="External"/><Relationship Id="rId1" Type="http://schemas.openxmlformats.org/officeDocument/2006/relationships/hyperlink" Target="mailto:johan.verding@telenet.be" TargetMode="External"/><Relationship Id="rId233" Type="http://schemas.openxmlformats.org/officeDocument/2006/relationships/hyperlink" Target="http://www.dailygammon.com/bg/user/22511" TargetMode="External"/><Relationship Id="rId440" Type="http://schemas.openxmlformats.org/officeDocument/2006/relationships/hyperlink" Target="http://www.dailygammon.com/bg/top" TargetMode="External"/><Relationship Id="rId28" Type="http://schemas.openxmlformats.org/officeDocument/2006/relationships/hyperlink" Target="http://www.dailygammon.com/bg/user/17648" TargetMode="External"/><Relationship Id="rId275" Type="http://schemas.openxmlformats.org/officeDocument/2006/relationships/hyperlink" Target="mailto:nixo_r@yahoo.fr" TargetMode="External"/><Relationship Id="rId300" Type="http://schemas.openxmlformats.org/officeDocument/2006/relationships/hyperlink" Target="http://www.dailygammon.com/bg/user/18866" TargetMode="External"/><Relationship Id="rId482" Type="http://schemas.openxmlformats.org/officeDocument/2006/relationships/hyperlink" Target="mailto:elias@freemail.hu" TargetMode="External"/><Relationship Id="rId538" Type="http://schemas.openxmlformats.org/officeDocument/2006/relationships/hyperlink" Target="mailto:uwedable@web.de" TargetMode="External"/><Relationship Id="rId81" Type="http://schemas.openxmlformats.org/officeDocument/2006/relationships/hyperlink" Target="http://www.dailygammon.com/bg/user/34026" TargetMode="External"/><Relationship Id="rId135" Type="http://schemas.openxmlformats.org/officeDocument/2006/relationships/hyperlink" Target="http://www.dailygammon.com/bg/user/24353" TargetMode="External"/><Relationship Id="rId177" Type="http://schemas.openxmlformats.org/officeDocument/2006/relationships/hyperlink" Target="http://www.dailygammon.com/bg/user/33175" TargetMode="External"/><Relationship Id="rId342" Type="http://schemas.openxmlformats.org/officeDocument/2006/relationships/hyperlink" Target="http://dailygammon.com/bg/user/38417" TargetMode="External"/><Relationship Id="rId384" Type="http://schemas.openxmlformats.org/officeDocument/2006/relationships/hyperlink" Target="mailto:Paclab2@gmail.Com" TargetMode="External"/><Relationship Id="rId202" Type="http://schemas.openxmlformats.org/officeDocument/2006/relationships/hyperlink" Target="http://www.dailygammon.com/bg/user/22415" TargetMode="External"/><Relationship Id="rId244" Type="http://schemas.openxmlformats.org/officeDocument/2006/relationships/hyperlink" Target="mailto:backgammon@mailbox.org" TargetMode="External"/><Relationship Id="rId39" Type="http://schemas.openxmlformats.org/officeDocument/2006/relationships/hyperlink" Target="mailto:spb.andreo@yandex.ru" TargetMode="External"/><Relationship Id="rId286" Type="http://schemas.openxmlformats.org/officeDocument/2006/relationships/hyperlink" Target="mailto:kerstin.dobrindt@outlook.de" TargetMode="External"/><Relationship Id="rId451" Type="http://schemas.openxmlformats.org/officeDocument/2006/relationships/hyperlink" Target="http://www.dailygammon.com/bg/top" TargetMode="External"/><Relationship Id="rId493" Type="http://schemas.openxmlformats.org/officeDocument/2006/relationships/hyperlink" Target="mailto:sbdouglas1949@gmail.com" TargetMode="External"/><Relationship Id="rId507" Type="http://schemas.openxmlformats.org/officeDocument/2006/relationships/hyperlink" Target="mailto:b.herwig@posteo.de" TargetMode="External"/><Relationship Id="rId549" Type="http://schemas.openxmlformats.org/officeDocument/2006/relationships/hyperlink" Target="http://www.dailygammon.com/bg/user/8077" TargetMode="External"/><Relationship Id="rId50" Type="http://schemas.openxmlformats.org/officeDocument/2006/relationships/hyperlink" Target="http://www.dailygammon.com/bg/user/26299" TargetMode="External"/><Relationship Id="rId104" Type="http://schemas.openxmlformats.org/officeDocument/2006/relationships/hyperlink" Target="mailto:arkhimedes@dbmail.com" TargetMode="External"/><Relationship Id="rId146" Type="http://schemas.openxmlformats.org/officeDocument/2006/relationships/hyperlink" Target="http://www.dailygammon.com/bg/user/26178" TargetMode="External"/><Relationship Id="rId188" Type="http://schemas.openxmlformats.org/officeDocument/2006/relationships/hyperlink" Target="http://www.dailygammon.com/bg/user/33827" TargetMode="External"/><Relationship Id="rId311" Type="http://schemas.openxmlformats.org/officeDocument/2006/relationships/hyperlink" Target="mailto:2yellow4u@web.de" TargetMode="External"/><Relationship Id="rId353" Type="http://schemas.openxmlformats.org/officeDocument/2006/relationships/hyperlink" Target="http://www.dailygammon.com/bg/user/1106" TargetMode="External"/><Relationship Id="rId395" Type="http://schemas.openxmlformats.org/officeDocument/2006/relationships/hyperlink" Target="http://www.dailygammon.com/bg/user/39043" TargetMode="External"/><Relationship Id="rId409" Type="http://schemas.openxmlformats.org/officeDocument/2006/relationships/hyperlink" Target="http://www.dailygammon.com/bg/user/2115" TargetMode="External"/><Relationship Id="rId92" Type="http://schemas.openxmlformats.org/officeDocument/2006/relationships/hyperlink" Target="http://www.dailygammon.com/bg/user/18147" TargetMode="External"/><Relationship Id="rId213" Type="http://schemas.openxmlformats.org/officeDocument/2006/relationships/hyperlink" Target="http://www.dailygammon.com/bg/user/36118" TargetMode="External"/><Relationship Id="rId420" Type="http://schemas.openxmlformats.org/officeDocument/2006/relationships/hyperlink" Target="mailto:1968neilyoung@gmail.com" TargetMode="External"/><Relationship Id="rId255" Type="http://schemas.openxmlformats.org/officeDocument/2006/relationships/hyperlink" Target="http://www.dailygammon.com/bg/user/2543" TargetMode="External"/><Relationship Id="rId297" Type="http://schemas.openxmlformats.org/officeDocument/2006/relationships/hyperlink" Target="http://www.dailygammon.com/bg/user/29269" TargetMode="External"/><Relationship Id="rId462" Type="http://schemas.openxmlformats.org/officeDocument/2006/relationships/hyperlink" Target="http://www.dailygammon.com/bg/user/4872" TargetMode="External"/><Relationship Id="rId518" Type="http://schemas.openxmlformats.org/officeDocument/2006/relationships/hyperlink" Target="http://www.dailygammon.com/bg/user/21083" TargetMode="External"/><Relationship Id="rId115" Type="http://schemas.openxmlformats.org/officeDocument/2006/relationships/hyperlink" Target="http://www.dailygammon.com/bg/user/6508" TargetMode="External"/><Relationship Id="rId157" Type="http://schemas.openxmlformats.org/officeDocument/2006/relationships/hyperlink" Target="http://www.dailygammon.com/bg/user/33328" TargetMode="External"/><Relationship Id="rId322" Type="http://schemas.openxmlformats.org/officeDocument/2006/relationships/hyperlink" Target="mailto:rsoldermatt@bluewin.ch" TargetMode="External"/><Relationship Id="rId364" Type="http://schemas.openxmlformats.org/officeDocument/2006/relationships/hyperlink" Target="http://www.dailygammon.com/bg/user/33344" TargetMode="External"/><Relationship Id="rId61" Type="http://schemas.openxmlformats.org/officeDocument/2006/relationships/hyperlink" Target="http://www.dailygammon.com/bg/user/23996" TargetMode="External"/><Relationship Id="rId199" Type="http://schemas.openxmlformats.org/officeDocument/2006/relationships/hyperlink" Target="http://www.dailygammon.com/bg/user/28804" TargetMode="External"/><Relationship Id="rId19" Type="http://schemas.openxmlformats.org/officeDocument/2006/relationships/hyperlink" Target="mailto:case_hopkins@yahoo.com" TargetMode="External"/><Relationship Id="rId224" Type="http://schemas.openxmlformats.org/officeDocument/2006/relationships/hyperlink" Target="http://www.dailygammon.com/bg/user/23706" TargetMode="External"/><Relationship Id="rId266" Type="http://schemas.openxmlformats.org/officeDocument/2006/relationships/hyperlink" Target="http://www.dailygammon.com/bg/user/22072" TargetMode="External"/><Relationship Id="rId431" Type="http://schemas.openxmlformats.org/officeDocument/2006/relationships/hyperlink" Target="http://www.dailygammon.com/bg/user/1236" TargetMode="External"/><Relationship Id="rId473" Type="http://schemas.openxmlformats.org/officeDocument/2006/relationships/hyperlink" Target="http://www.dailygammon.com/bg/top" TargetMode="External"/><Relationship Id="rId529" Type="http://schemas.openxmlformats.org/officeDocument/2006/relationships/hyperlink" Target="mailto:cxm@gmx.de" TargetMode="External"/><Relationship Id="rId30" Type="http://schemas.openxmlformats.org/officeDocument/2006/relationships/hyperlink" Target="http://www.dailygammon.com/bg/user/30497" TargetMode="External"/><Relationship Id="rId126" Type="http://schemas.openxmlformats.org/officeDocument/2006/relationships/hyperlink" Target="http://www.dailygammon.com/bg/user/25013" TargetMode="External"/><Relationship Id="rId168" Type="http://schemas.openxmlformats.org/officeDocument/2006/relationships/hyperlink" Target="mailto:thomas.7594@gmail.com" TargetMode="External"/><Relationship Id="rId333" Type="http://schemas.openxmlformats.org/officeDocument/2006/relationships/hyperlink" Target="mailto:martin@purplesageconsultancy.co.uk" TargetMode="External"/><Relationship Id="rId540" Type="http://schemas.openxmlformats.org/officeDocument/2006/relationships/hyperlink" Target="http://www.dailygammon.com/bg/top" TargetMode="External"/><Relationship Id="rId72" Type="http://schemas.openxmlformats.org/officeDocument/2006/relationships/hyperlink" Target="mailto:gsteinheimer@yahoo.de" TargetMode="External"/><Relationship Id="rId375" Type="http://schemas.openxmlformats.org/officeDocument/2006/relationships/hyperlink" Target="mailto:agsteiner@mailbox.org" TargetMode="External"/><Relationship Id="rId3" Type="http://schemas.openxmlformats.org/officeDocument/2006/relationships/hyperlink" Target="http://www.dailygammon.com/bg/user/23532" TargetMode="External"/><Relationship Id="rId235" Type="http://schemas.openxmlformats.org/officeDocument/2006/relationships/hyperlink" Target="http://www.dailygammon.com/bg/user/32423" TargetMode="External"/><Relationship Id="rId277" Type="http://schemas.openxmlformats.org/officeDocument/2006/relationships/hyperlink" Target="http://www.dailygammon.com/bg/user/37183" TargetMode="External"/><Relationship Id="rId400" Type="http://schemas.openxmlformats.org/officeDocument/2006/relationships/hyperlink" Target="http://www.dailygammon.com/bg/user/8719" TargetMode="External"/><Relationship Id="rId442" Type="http://schemas.openxmlformats.org/officeDocument/2006/relationships/hyperlink" Target="http://www.dailygammon.com/bg/user/40029" TargetMode="External"/><Relationship Id="rId484" Type="http://schemas.openxmlformats.org/officeDocument/2006/relationships/hyperlink" Target="http://www.dailygammon.com/bg/top" TargetMode="External"/><Relationship Id="rId137" Type="http://schemas.openxmlformats.org/officeDocument/2006/relationships/hyperlink" Target="http://www.dailygammon.com/bg/user/32125" TargetMode="External"/><Relationship Id="rId302" Type="http://schemas.openxmlformats.org/officeDocument/2006/relationships/hyperlink" Target="mailto:mrdavidmotley@gmail.com" TargetMode="External"/><Relationship Id="rId344" Type="http://schemas.openxmlformats.org/officeDocument/2006/relationships/hyperlink" Target="http://dailygammon.com/bg/user/38417" TargetMode="External"/><Relationship Id="rId41" Type="http://schemas.openxmlformats.org/officeDocument/2006/relationships/hyperlink" Target="mailto:andreas0305@googlemail.com" TargetMode="External"/><Relationship Id="rId83" Type="http://schemas.openxmlformats.org/officeDocument/2006/relationships/hyperlink" Target="http://www.dailygammon.com/bg/user/20696" TargetMode="External"/><Relationship Id="rId179" Type="http://schemas.openxmlformats.org/officeDocument/2006/relationships/hyperlink" Target="mailto:markus.in.bxl@gmail.com" TargetMode="External"/><Relationship Id="rId386" Type="http://schemas.openxmlformats.org/officeDocument/2006/relationships/hyperlink" Target="http://www.dailygammon.com/bg/user/38828" TargetMode="External"/><Relationship Id="rId551" Type="http://schemas.openxmlformats.org/officeDocument/2006/relationships/hyperlink" Target="mailto:tj@crowder.org" TargetMode="External"/><Relationship Id="rId190" Type="http://schemas.openxmlformats.org/officeDocument/2006/relationships/hyperlink" Target="mailto:arkeller@optonline.net" TargetMode="External"/><Relationship Id="rId204" Type="http://schemas.openxmlformats.org/officeDocument/2006/relationships/hyperlink" Target="http://www.dailygammon.com/bg/user/8743" TargetMode="External"/><Relationship Id="rId246" Type="http://schemas.openxmlformats.org/officeDocument/2006/relationships/hyperlink" Target="http://www.dailygammon.com/bg/user/33394" TargetMode="External"/><Relationship Id="rId288" Type="http://schemas.openxmlformats.org/officeDocument/2006/relationships/hyperlink" Target="http://www.dailygammon.com/bg/user/6508" TargetMode="External"/><Relationship Id="rId411" Type="http://schemas.openxmlformats.org/officeDocument/2006/relationships/hyperlink" Target="http://www.dailygammon.com/bg/top" TargetMode="External"/><Relationship Id="rId453" Type="http://schemas.openxmlformats.org/officeDocument/2006/relationships/hyperlink" Target="http://www.dailygammon.com/bg/user/40365" TargetMode="External"/><Relationship Id="rId509" Type="http://schemas.openxmlformats.org/officeDocument/2006/relationships/hyperlink" Target="http://www.dailygammon.com/bg/top" TargetMode="External"/><Relationship Id="rId106" Type="http://schemas.openxmlformats.org/officeDocument/2006/relationships/hyperlink" Target="mailto:bdemiraglar@web.de" TargetMode="External"/><Relationship Id="rId313" Type="http://schemas.openxmlformats.org/officeDocument/2006/relationships/hyperlink" Target="mailto:mhentea@hotmail.com" TargetMode="External"/><Relationship Id="rId495" Type="http://schemas.openxmlformats.org/officeDocument/2006/relationships/hyperlink" Target="http://www.dailygammon.com/bg/user/36610" TargetMode="External"/><Relationship Id="rId10" Type="http://schemas.openxmlformats.org/officeDocument/2006/relationships/hyperlink" Target="mailto:i_schoenegge_rezaee@hotmail.com" TargetMode="External"/><Relationship Id="rId52" Type="http://schemas.openxmlformats.org/officeDocument/2006/relationships/hyperlink" Target="mailto:brigitte_haaf@web.de" TargetMode="External"/><Relationship Id="rId94" Type="http://schemas.openxmlformats.org/officeDocument/2006/relationships/hyperlink" Target="http://www.dailygammon.com/bg/user/532" TargetMode="External"/><Relationship Id="rId148" Type="http://schemas.openxmlformats.org/officeDocument/2006/relationships/hyperlink" Target="http://www.dailygammon.com/bg/user/29852" TargetMode="External"/><Relationship Id="rId355" Type="http://schemas.openxmlformats.org/officeDocument/2006/relationships/hyperlink" Target="http://www.dailygammon.com/bg/user/15331" TargetMode="External"/><Relationship Id="rId397" Type="http://schemas.openxmlformats.org/officeDocument/2006/relationships/hyperlink" Target="http://www.dailygammon.com/bg/user/19078" TargetMode="External"/><Relationship Id="rId520" Type="http://schemas.openxmlformats.org/officeDocument/2006/relationships/hyperlink" Target="mailto:wnelles@gmx.de" TargetMode="External"/><Relationship Id="rId215" Type="http://schemas.openxmlformats.org/officeDocument/2006/relationships/hyperlink" Target="mailto:SnoopAggieAg@yahoo.com" TargetMode="External"/><Relationship Id="rId257" Type="http://schemas.openxmlformats.org/officeDocument/2006/relationships/hyperlink" Target="http://www.dailygammon.com/bg/user/21200" TargetMode="External"/><Relationship Id="rId422" Type="http://schemas.openxmlformats.org/officeDocument/2006/relationships/hyperlink" Target="http://www.dailygammon.com/bg/top" TargetMode="External"/><Relationship Id="rId464" Type="http://schemas.openxmlformats.org/officeDocument/2006/relationships/hyperlink" Target="http://www.dailygammon.com/bg/top" TargetMode="External"/><Relationship Id="rId299" Type="http://schemas.openxmlformats.org/officeDocument/2006/relationships/hyperlink" Target="http://www.dailygammon.com/bg/user/33114" TargetMode="External"/><Relationship Id="rId63" Type="http://schemas.openxmlformats.org/officeDocument/2006/relationships/hyperlink" Target="http://www.dailygammon.com/bg/user/27176" TargetMode="External"/><Relationship Id="rId159" Type="http://schemas.openxmlformats.org/officeDocument/2006/relationships/hyperlink" Target="http://www.dailygammon.com/bg/user/37219" TargetMode="External"/><Relationship Id="rId366" Type="http://schemas.openxmlformats.org/officeDocument/2006/relationships/hyperlink" Target="http://www.dailygammon.com/bg/user/15774" TargetMode="External"/><Relationship Id="rId226" Type="http://schemas.openxmlformats.org/officeDocument/2006/relationships/hyperlink" Target="http://www.dailygammon.com/bg/user/22385" TargetMode="External"/><Relationship Id="rId433" Type="http://schemas.openxmlformats.org/officeDocument/2006/relationships/hyperlink" Target="http://www.dailygammon.com/bg/user/40111" TargetMode="External"/><Relationship Id="rId74" Type="http://schemas.openxmlformats.org/officeDocument/2006/relationships/hyperlink" Target="http://www.dailygammon.com/bg/user/31793" TargetMode="External"/><Relationship Id="rId377" Type="http://schemas.openxmlformats.org/officeDocument/2006/relationships/hyperlink" Target="mailto:qswanger@gmail.com" TargetMode="External"/><Relationship Id="rId500" Type="http://schemas.openxmlformats.org/officeDocument/2006/relationships/hyperlink" Target="http://www.dailygammon.com/bg/user/11977" TargetMode="External"/><Relationship Id="rId5" Type="http://schemas.openxmlformats.org/officeDocument/2006/relationships/hyperlink" Target="http://www.dailygammon.com/bg/user/27628" TargetMode="External"/><Relationship Id="rId237" Type="http://schemas.openxmlformats.org/officeDocument/2006/relationships/hyperlink" Target="mailto:coach.jbd@gmail.com" TargetMode="External"/><Relationship Id="rId444" Type="http://schemas.openxmlformats.org/officeDocument/2006/relationships/hyperlink" Target="http://www.dailygammon.com/bg/user/39676" TargetMode="External"/><Relationship Id="rId290" Type="http://schemas.openxmlformats.org/officeDocument/2006/relationships/hyperlink" Target="http://www.dailygammon.com/bg/user/28783" TargetMode="External"/><Relationship Id="rId304" Type="http://schemas.openxmlformats.org/officeDocument/2006/relationships/hyperlink" Target="mailto:klic@mnet-online.de" TargetMode="External"/><Relationship Id="rId388" Type="http://schemas.openxmlformats.org/officeDocument/2006/relationships/hyperlink" Target="http://www.dailygammon.com/bg/top" TargetMode="External"/><Relationship Id="rId511" Type="http://schemas.openxmlformats.org/officeDocument/2006/relationships/hyperlink" Target="http://www.dailygammon.com/bg/user/225" TargetMode="External"/><Relationship Id="rId85" Type="http://schemas.openxmlformats.org/officeDocument/2006/relationships/hyperlink" Target="http://www.dailygammon.com/bg/user/26933" TargetMode="External"/><Relationship Id="rId150" Type="http://schemas.openxmlformats.org/officeDocument/2006/relationships/hyperlink" Target="mailto:info@coolsuit.de" TargetMode="External"/><Relationship Id="rId248" Type="http://schemas.openxmlformats.org/officeDocument/2006/relationships/hyperlink" Target="http://www.dailygammon.com/bg/user/21067" TargetMode="External"/><Relationship Id="rId455" Type="http://schemas.openxmlformats.org/officeDocument/2006/relationships/hyperlink" Target="mailto:ashraf.shehab@posteo.de" TargetMode="External"/><Relationship Id="rId12" Type="http://schemas.openxmlformats.org/officeDocument/2006/relationships/hyperlink" Target="mailto:dimensionenreiter@posteo.de" TargetMode="External"/><Relationship Id="rId108" Type="http://schemas.openxmlformats.org/officeDocument/2006/relationships/hyperlink" Target="mailto:milofell@hotmail.com" TargetMode="External"/><Relationship Id="rId315" Type="http://schemas.openxmlformats.org/officeDocument/2006/relationships/hyperlink" Target="mailto:Stevenwaller1956@gmail.com" TargetMode="External"/><Relationship Id="rId522" Type="http://schemas.openxmlformats.org/officeDocument/2006/relationships/hyperlink" Target="http://www.dailygammon.com/bg/user/23180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kerstin.dobrindt@outlook.de" TargetMode="External"/><Relationship Id="rId21" Type="http://schemas.openxmlformats.org/officeDocument/2006/relationships/hyperlink" Target="http://www.dailygammon.com/bg/user/21796" TargetMode="External"/><Relationship Id="rId42" Type="http://schemas.openxmlformats.org/officeDocument/2006/relationships/hyperlink" Target="http://www.dailygammon.com/bg/user/28804" TargetMode="External"/><Relationship Id="rId63" Type="http://schemas.openxmlformats.org/officeDocument/2006/relationships/hyperlink" Target="http://www.dailygammon.com/bg/user/24760" TargetMode="External"/><Relationship Id="rId84" Type="http://schemas.openxmlformats.org/officeDocument/2006/relationships/hyperlink" Target="http://www.dailygammon.com/bg/user/28804" TargetMode="External"/><Relationship Id="rId138" Type="http://schemas.openxmlformats.org/officeDocument/2006/relationships/hyperlink" Target="http://www.dailygammon.com/bg/user/27176" TargetMode="External"/><Relationship Id="rId159" Type="http://schemas.openxmlformats.org/officeDocument/2006/relationships/hyperlink" Target="http://www.dailygammon.com/bg/user/27176" TargetMode="External"/><Relationship Id="rId170" Type="http://schemas.openxmlformats.org/officeDocument/2006/relationships/hyperlink" Target="http://www.dailygammon.com/bg/user/31952" TargetMode="External"/><Relationship Id="rId191" Type="http://schemas.openxmlformats.org/officeDocument/2006/relationships/hyperlink" Target="http://www.dailygammon.com/bg/user/39676" TargetMode="External"/><Relationship Id="rId107" Type="http://schemas.openxmlformats.org/officeDocument/2006/relationships/hyperlink" Target="http://www.dailygammon.com/bg/user/24760" TargetMode="External"/><Relationship Id="rId11" Type="http://schemas.openxmlformats.org/officeDocument/2006/relationships/hyperlink" Target="http://www.dailygammon.com/bg/user/21796" TargetMode="External"/><Relationship Id="rId32" Type="http://schemas.openxmlformats.org/officeDocument/2006/relationships/hyperlink" Target="http://www.dailygammon.com/bg/user/21067" TargetMode="External"/><Relationship Id="rId53" Type="http://schemas.openxmlformats.org/officeDocument/2006/relationships/hyperlink" Target="http://www.dailygammon.com/bg/user/24760" TargetMode="External"/><Relationship Id="rId74" Type="http://schemas.openxmlformats.org/officeDocument/2006/relationships/hyperlink" Target="http://www.dailygammon.com/bg/user/21796" TargetMode="External"/><Relationship Id="rId128" Type="http://schemas.openxmlformats.org/officeDocument/2006/relationships/hyperlink" Target="http://www.dailygammon.com/bg/user/28804" TargetMode="External"/><Relationship Id="rId149" Type="http://schemas.openxmlformats.org/officeDocument/2006/relationships/hyperlink" Target="http://www.dailygammon.com/bg/user/24760" TargetMode="External"/><Relationship Id="rId5" Type="http://schemas.openxmlformats.org/officeDocument/2006/relationships/hyperlink" Target="http://www.dailygammon.com/bg/user/14990" TargetMode="External"/><Relationship Id="rId95" Type="http://schemas.openxmlformats.org/officeDocument/2006/relationships/hyperlink" Target="http://www.dailygammon.com/bg/user/22426" TargetMode="External"/><Relationship Id="rId160" Type="http://schemas.openxmlformats.org/officeDocument/2006/relationships/hyperlink" Target="http://www.dailygammon.com/bg/user/33060" TargetMode="External"/><Relationship Id="rId181" Type="http://schemas.openxmlformats.org/officeDocument/2006/relationships/hyperlink" Target="http://www.dailygammon.com/bg/user/33060" TargetMode="External"/><Relationship Id="rId22" Type="http://schemas.openxmlformats.org/officeDocument/2006/relationships/hyperlink" Target="http://www.dailygammon.com/bg/user/25562" TargetMode="External"/><Relationship Id="rId43" Type="http://schemas.openxmlformats.org/officeDocument/2006/relationships/hyperlink" Target="http://www.dailygammon.com/bg/user/25562" TargetMode="External"/><Relationship Id="rId64" Type="http://schemas.openxmlformats.org/officeDocument/2006/relationships/hyperlink" Target="http://www.dailygammon.com/bg/user/22416" TargetMode="External"/><Relationship Id="rId118" Type="http://schemas.openxmlformats.org/officeDocument/2006/relationships/hyperlink" Target="mailto:kerstin.dobrindt@outlook.de" TargetMode="External"/><Relationship Id="rId139" Type="http://schemas.openxmlformats.org/officeDocument/2006/relationships/hyperlink" Target="http://www.dailygammon.com/bg/user/21796" TargetMode="External"/><Relationship Id="rId85" Type="http://schemas.openxmlformats.org/officeDocument/2006/relationships/hyperlink" Target="http://www.dailygammon.com/bg/user/20617" TargetMode="External"/><Relationship Id="rId150" Type="http://schemas.openxmlformats.org/officeDocument/2006/relationships/hyperlink" Target="http://www.dailygammon.com/bg/user/32477" TargetMode="External"/><Relationship Id="rId171" Type="http://schemas.openxmlformats.org/officeDocument/2006/relationships/hyperlink" Target="http://www.dailygammon.com/bg/user/28804" TargetMode="External"/><Relationship Id="rId192" Type="http://schemas.openxmlformats.org/officeDocument/2006/relationships/hyperlink" Target="http://www.dailygammon.com/bg/user/22809" TargetMode="External"/><Relationship Id="rId12" Type="http://schemas.openxmlformats.org/officeDocument/2006/relationships/hyperlink" Target="http://www.dailygammon.com/bg/user/28330" TargetMode="External"/><Relationship Id="rId33" Type="http://schemas.openxmlformats.org/officeDocument/2006/relationships/hyperlink" Target="mailto:r.haslauer@web.de" TargetMode="External"/><Relationship Id="rId108" Type="http://schemas.openxmlformats.org/officeDocument/2006/relationships/hyperlink" Target="http://www.dailygammon.com/bg/user/22426" TargetMode="External"/><Relationship Id="rId129" Type="http://schemas.openxmlformats.org/officeDocument/2006/relationships/hyperlink" Target="http://www.dailygammon.com/bg/user/27176" TargetMode="External"/><Relationship Id="rId54" Type="http://schemas.openxmlformats.org/officeDocument/2006/relationships/hyperlink" Target="http://www.dailygammon.com/bg/user/28804" TargetMode="External"/><Relationship Id="rId75" Type="http://schemas.openxmlformats.org/officeDocument/2006/relationships/hyperlink" Target="http://www.dailygammon.com/bg/user/33060" TargetMode="External"/><Relationship Id="rId96" Type="http://schemas.openxmlformats.org/officeDocument/2006/relationships/hyperlink" Target="http://www.dailygammon.com/bg/user/28804" TargetMode="External"/><Relationship Id="rId140" Type="http://schemas.openxmlformats.org/officeDocument/2006/relationships/hyperlink" Target="http://www.dailygammon.com/bg/user/28804" TargetMode="External"/><Relationship Id="rId161" Type="http://schemas.openxmlformats.org/officeDocument/2006/relationships/hyperlink" Target="http://www.dailygammon.com/bg/user/33060" TargetMode="External"/><Relationship Id="rId182" Type="http://schemas.openxmlformats.org/officeDocument/2006/relationships/hyperlink" Target="http://www.dailygammon.com/bg/user/33060" TargetMode="External"/><Relationship Id="rId6" Type="http://schemas.openxmlformats.org/officeDocument/2006/relationships/hyperlink" Target="http://www.dailygammon.com/bg/user/20617" TargetMode="External"/><Relationship Id="rId23" Type="http://schemas.openxmlformats.org/officeDocument/2006/relationships/hyperlink" Target="http://www.dailygammon.com/bg/user/22416" TargetMode="External"/><Relationship Id="rId119" Type="http://schemas.openxmlformats.org/officeDocument/2006/relationships/hyperlink" Target="mailto:kerstin.dobrindt@outlook.de" TargetMode="External"/><Relationship Id="rId44" Type="http://schemas.openxmlformats.org/officeDocument/2006/relationships/hyperlink" Target="http://www.dailygammon.com/bg/user/22426" TargetMode="External"/><Relationship Id="rId65" Type="http://schemas.openxmlformats.org/officeDocument/2006/relationships/hyperlink" Target="http://www.dailygammon.com/bg/user/21796" TargetMode="External"/><Relationship Id="rId86" Type="http://schemas.openxmlformats.org/officeDocument/2006/relationships/hyperlink" Target="http://www.dailygammon.com/bg/user/33060" TargetMode="External"/><Relationship Id="rId130" Type="http://schemas.openxmlformats.org/officeDocument/2006/relationships/hyperlink" Target="http://www.dailygammon.com/bg/user/22416" TargetMode="External"/><Relationship Id="rId151" Type="http://schemas.openxmlformats.org/officeDocument/2006/relationships/hyperlink" Target="http://www.dailygammon.com/bg/user/14990" TargetMode="External"/><Relationship Id="rId172" Type="http://schemas.openxmlformats.org/officeDocument/2006/relationships/hyperlink" Target="http://www.dailygammon.com/bg/user/14866" TargetMode="External"/><Relationship Id="rId193" Type="http://schemas.openxmlformats.org/officeDocument/2006/relationships/hyperlink" Target="http://www.dailygammon.com/bg/user/22426" TargetMode="External"/><Relationship Id="rId13" Type="http://schemas.openxmlformats.org/officeDocument/2006/relationships/hyperlink" Target="http://www.dailygammon.com/bg/user/24760" TargetMode="External"/><Relationship Id="rId109" Type="http://schemas.openxmlformats.org/officeDocument/2006/relationships/hyperlink" Target="mailto:kerstin.dobrindt@outlook.de" TargetMode="External"/><Relationship Id="rId34" Type="http://schemas.openxmlformats.org/officeDocument/2006/relationships/hyperlink" Target="http://www.dailygammon.com/bg/user/24760" TargetMode="External"/><Relationship Id="rId50" Type="http://schemas.openxmlformats.org/officeDocument/2006/relationships/hyperlink" Target="http://www.dailygammon.com/bg/user/27176" TargetMode="External"/><Relationship Id="rId55" Type="http://schemas.openxmlformats.org/officeDocument/2006/relationships/hyperlink" Target="http://www.dailygammon.com/bg/user/28804" TargetMode="External"/><Relationship Id="rId76" Type="http://schemas.openxmlformats.org/officeDocument/2006/relationships/hyperlink" Target="http://www.dailygammon.com/bg/user/27176" TargetMode="External"/><Relationship Id="rId97" Type="http://schemas.openxmlformats.org/officeDocument/2006/relationships/hyperlink" Target="http://www.dailygammon.com/bg/user/21796" TargetMode="External"/><Relationship Id="rId104" Type="http://schemas.openxmlformats.org/officeDocument/2006/relationships/hyperlink" Target="http://www.dailygammon.com/bg/user/20617" TargetMode="External"/><Relationship Id="rId120" Type="http://schemas.openxmlformats.org/officeDocument/2006/relationships/hyperlink" Target="mailto:kerstin.dobrindt@outlook.de" TargetMode="External"/><Relationship Id="rId125" Type="http://schemas.openxmlformats.org/officeDocument/2006/relationships/hyperlink" Target="http://www.dailygammon.com/bg/user/24760" TargetMode="External"/><Relationship Id="rId141" Type="http://schemas.openxmlformats.org/officeDocument/2006/relationships/hyperlink" Target="http://www.dailygammon.com/bg/user/28804" TargetMode="External"/><Relationship Id="rId146" Type="http://schemas.openxmlformats.org/officeDocument/2006/relationships/hyperlink" Target="http://www.dailygammon.com/bg/user/33060" TargetMode="External"/><Relationship Id="rId167" Type="http://schemas.openxmlformats.org/officeDocument/2006/relationships/hyperlink" Target="http://www.dailygammon.com/bg/user/33060" TargetMode="External"/><Relationship Id="rId188" Type="http://schemas.openxmlformats.org/officeDocument/2006/relationships/hyperlink" Target="http://www.dailygammon.com/bg/user/28804" TargetMode="External"/><Relationship Id="rId7" Type="http://schemas.openxmlformats.org/officeDocument/2006/relationships/hyperlink" Target="mailto:kerstin.dobrindt@outlook.de" TargetMode="External"/><Relationship Id="rId71" Type="http://schemas.openxmlformats.org/officeDocument/2006/relationships/hyperlink" Target="http://www.dailygammon.com/bg/user/28804" TargetMode="External"/><Relationship Id="rId92" Type="http://schemas.openxmlformats.org/officeDocument/2006/relationships/hyperlink" Target="http://www.dailygammon.com/bg/user/22416" TargetMode="External"/><Relationship Id="rId162" Type="http://schemas.openxmlformats.org/officeDocument/2006/relationships/hyperlink" Target="http://www.dailygammon.com/bg/user/28804" TargetMode="External"/><Relationship Id="rId183" Type="http://schemas.openxmlformats.org/officeDocument/2006/relationships/hyperlink" Target="http://www.dailygammon.com/bg/user/39676" TargetMode="External"/><Relationship Id="rId2" Type="http://schemas.openxmlformats.org/officeDocument/2006/relationships/hyperlink" Target="mailto:pberg.cgn@gmail.com" TargetMode="External"/><Relationship Id="rId29" Type="http://schemas.openxmlformats.org/officeDocument/2006/relationships/hyperlink" Target="http://www.dailygammon.com/bg/user/27176" TargetMode="External"/><Relationship Id="rId24" Type="http://schemas.openxmlformats.org/officeDocument/2006/relationships/hyperlink" Target="mailto:andreas.graf2@aon.at" TargetMode="External"/><Relationship Id="rId40" Type="http://schemas.openxmlformats.org/officeDocument/2006/relationships/hyperlink" Target="http://www.dailygammon.com/bg/user/21067" TargetMode="External"/><Relationship Id="rId45" Type="http://schemas.openxmlformats.org/officeDocument/2006/relationships/hyperlink" Target="http://www.dailygammon.com/bg/user/28804" TargetMode="External"/><Relationship Id="rId66" Type="http://schemas.openxmlformats.org/officeDocument/2006/relationships/hyperlink" Target="http://www.dailygammon.com/bg/user/27176" TargetMode="External"/><Relationship Id="rId87" Type="http://schemas.openxmlformats.org/officeDocument/2006/relationships/hyperlink" Target="http://www.dailygammon.com/bg/user/27176" TargetMode="External"/><Relationship Id="rId110" Type="http://schemas.openxmlformats.org/officeDocument/2006/relationships/hyperlink" Target="mailto:kerstin.dobrindt@outlook.de" TargetMode="External"/><Relationship Id="rId115" Type="http://schemas.openxmlformats.org/officeDocument/2006/relationships/hyperlink" Target="mailto:kerstin.dobrindt@outlook.de" TargetMode="External"/><Relationship Id="rId131" Type="http://schemas.openxmlformats.org/officeDocument/2006/relationships/hyperlink" Target="http://www.dailygammon.com/bg/user/28804" TargetMode="External"/><Relationship Id="rId136" Type="http://schemas.openxmlformats.org/officeDocument/2006/relationships/hyperlink" Target="http://www.dailygammon.com/bg/user/33060" TargetMode="External"/><Relationship Id="rId157" Type="http://schemas.openxmlformats.org/officeDocument/2006/relationships/hyperlink" Target="http://www.dailygammon.com/bg/user/28804" TargetMode="External"/><Relationship Id="rId178" Type="http://schemas.openxmlformats.org/officeDocument/2006/relationships/hyperlink" Target="http://www.dailygammon.com/bg/user/27176" TargetMode="External"/><Relationship Id="rId61" Type="http://schemas.openxmlformats.org/officeDocument/2006/relationships/hyperlink" Target="http://www.dailygammon.com/bg/user/25562" TargetMode="External"/><Relationship Id="rId82" Type="http://schemas.openxmlformats.org/officeDocument/2006/relationships/hyperlink" Target="http://www.dailygammon.com/bg/user/22416" TargetMode="External"/><Relationship Id="rId152" Type="http://schemas.openxmlformats.org/officeDocument/2006/relationships/hyperlink" Target="http://www.dailygammon.com/bg/user/28804" TargetMode="External"/><Relationship Id="rId173" Type="http://schemas.openxmlformats.org/officeDocument/2006/relationships/hyperlink" Target="http://www.dailygammon.com/bg/user/11977" TargetMode="External"/><Relationship Id="rId194" Type="http://schemas.openxmlformats.org/officeDocument/2006/relationships/hyperlink" Target="http://www.dailygammon.com/bg/user/28804" TargetMode="External"/><Relationship Id="rId19" Type="http://schemas.openxmlformats.org/officeDocument/2006/relationships/hyperlink" Target="http://www.dailygammon.com/bg/user/32477" TargetMode="External"/><Relationship Id="rId14" Type="http://schemas.openxmlformats.org/officeDocument/2006/relationships/hyperlink" Target="http://www.dailygammon.com/bg/user/25562" TargetMode="External"/><Relationship Id="rId30" Type="http://schemas.openxmlformats.org/officeDocument/2006/relationships/hyperlink" Target="http://www.dailygammon.com/bg/user/22426" TargetMode="External"/><Relationship Id="rId35" Type="http://schemas.openxmlformats.org/officeDocument/2006/relationships/hyperlink" Target="http://www.dailygammon.com/bg/user/27176" TargetMode="External"/><Relationship Id="rId56" Type="http://schemas.openxmlformats.org/officeDocument/2006/relationships/hyperlink" Target="http://www.dailygammon.com/bg/user/28804" TargetMode="External"/><Relationship Id="rId77" Type="http://schemas.openxmlformats.org/officeDocument/2006/relationships/hyperlink" Target="http://www.dailygammon.com/bg/user/28804" TargetMode="External"/><Relationship Id="rId100" Type="http://schemas.openxmlformats.org/officeDocument/2006/relationships/hyperlink" Target="http://www.dailygammon.com/bg/user/33060" TargetMode="External"/><Relationship Id="rId105" Type="http://schemas.openxmlformats.org/officeDocument/2006/relationships/hyperlink" Target="http://www.dailygammon.com/bg/user/21067" TargetMode="External"/><Relationship Id="rId126" Type="http://schemas.openxmlformats.org/officeDocument/2006/relationships/hyperlink" Target="http://www.dailygammon.com/bg/user/21796" TargetMode="External"/><Relationship Id="rId147" Type="http://schemas.openxmlformats.org/officeDocument/2006/relationships/hyperlink" Target="http://www.dailygammon.com/bg/user/21796" TargetMode="External"/><Relationship Id="rId168" Type="http://schemas.openxmlformats.org/officeDocument/2006/relationships/hyperlink" Target="http://www.dailygammon.com/bg/user/33060" TargetMode="External"/><Relationship Id="rId8" Type="http://schemas.openxmlformats.org/officeDocument/2006/relationships/hyperlink" Target="mailto:i_schoenegge_rezaee@hotmail.com" TargetMode="External"/><Relationship Id="rId51" Type="http://schemas.openxmlformats.org/officeDocument/2006/relationships/hyperlink" Target="http://www.dailygammon.com/bg/user/22426" TargetMode="External"/><Relationship Id="rId72" Type="http://schemas.openxmlformats.org/officeDocument/2006/relationships/hyperlink" Target="http://www.dailygammon.com/bg/user/20617" TargetMode="External"/><Relationship Id="rId93" Type="http://schemas.openxmlformats.org/officeDocument/2006/relationships/hyperlink" Target="http://www.dailygammon.com/bg/user/20617" TargetMode="External"/><Relationship Id="rId98" Type="http://schemas.openxmlformats.org/officeDocument/2006/relationships/hyperlink" Target="http://www.dailygammon.com/bg/user/28804" TargetMode="External"/><Relationship Id="rId121" Type="http://schemas.openxmlformats.org/officeDocument/2006/relationships/hyperlink" Target="http://www.dailygammon.com/bg/user/28804" TargetMode="External"/><Relationship Id="rId142" Type="http://schemas.openxmlformats.org/officeDocument/2006/relationships/hyperlink" Target="http://www.dailygammon.com/bg/user/32477" TargetMode="External"/><Relationship Id="rId163" Type="http://schemas.openxmlformats.org/officeDocument/2006/relationships/hyperlink" Target="http://www.dailygammon.com/bg/user/32477" TargetMode="External"/><Relationship Id="rId184" Type="http://schemas.openxmlformats.org/officeDocument/2006/relationships/hyperlink" Target="http://www.dailygammon.com/bg/user/11977" TargetMode="External"/><Relationship Id="rId189" Type="http://schemas.openxmlformats.org/officeDocument/2006/relationships/hyperlink" Target="http://www.dailygammon.com/bg/user/21796" TargetMode="External"/><Relationship Id="rId3" Type="http://schemas.openxmlformats.org/officeDocument/2006/relationships/hyperlink" Target="mailto:rsoldermatt@bluewin.ch" TargetMode="External"/><Relationship Id="rId25" Type="http://schemas.openxmlformats.org/officeDocument/2006/relationships/hyperlink" Target="http://www.dailygammon.com/bg/user/20617" TargetMode="External"/><Relationship Id="rId46" Type="http://schemas.openxmlformats.org/officeDocument/2006/relationships/hyperlink" Target="http://www.dailygammon.com/bg/user/33060" TargetMode="External"/><Relationship Id="rId67" Type="http://schemas.openxmlformats.org/officeDocument/2006/relationships/hyperlink" Target="http://www.dailygammon.com/bg/user/31952" TargetMode="External"/><Relationship Id="rId116" Type="http://schemas.openxmlformats.org/officeDocument/2006/relationships/hyperlink" Target="mailto:kerstin.dobrindt@outlook.de" TargetMode="External"/><Relationship Id="rId137" Type="http://schemas.openxmlformats.org/officeDocument/2006/relationships/hyperlink" Target="http://www.dailygammon.com/bg/user/22426" TargetMode="External"/><Relationship Id="rId158" Type="http://schemas.openxmlformats.org/officeDocument/2006/relationships/hyperlink" Target="http://www.dailygammon.com/bg/user/28804" TargetMode="External"/><Relationship Id="rId20" Type="http://schemas.openxmlformats.org/officeDocument/2006/relationships/hyperlink" Target="http://www.dailygammon.com/bg/user/25562" TargetMode="External"/><Relationship Id="rId41" Type="http://schemas.openxmlformats.org/officeDocument/2006/relationships/hyperlink" Target="http://www.dailygammon.com/bg/user/22416" TargetMode="External"/><Relationship Id="rId62" Type="http://schemas.openxmlformats.org/officeDocument/2006/relationships/hyperlink" Target="http://www.dailygammon.com/bg/user/20617" TargetMode="External"/><Relationship Id="rId83" Type="http://schemas.openxmlformats.org/officeDocument/2006/relationships/hyperlink" Target="http://www.dailygammon.com/bg/user/20617" TargetMode="External"/><Relationship Id="rId88" Type="http://schemas.openxmlformats.org/officeDocument/2006/relationships/hyperlink" Target="http://www.dailygammon.com/bg/user/22416" TargetMode="External"/><Relationship Id="rId111" Type="http://schemas.openxmlformats.org/officeDocument/2006/relationships/hyperlink" Target="mailto:kerstin.dobrindt@outlook.de" TargetMode="External"/><Relationship Id="rId132" Type="http://schemas.openxmlformats.org/officeDocument/2006/relationships/hyperlink" Target="http://www.dailygammon.com/bg/user/33060" TargetMode="External"/><Relationship Id="rId153" Type="http://schemas.openxmlformats.org/officeDocument/2006/relationships/hyperlink" Target="http://www.dailygammon.com/bg/user/24760" TargetMode="External"/><Relationship Id="rId174" Type="http://schemas.openxmlformats.org/officeDocument/2006/relationships/hyperlink" Target="http://www.dailygammon.com/bg/user/28804" TargetMode="External"/><Relationship Id="rId179" Type="http://schemas.openxmlformats.org/officeDocument/2006/relationships/hyperlink" Target="http://www.dailygammon.com/bg/user/28804" TargetMode="External"/><Relationship Id="rId195" Type="http://schemas.openxmlformats.org/officeDocument/2006/relationships/printerSettings" Target="../printerSettings/printerSettings4.bin"/><Relationship Id="rId190" Type="http://schemas.openxmlformats.org/officeDocument/2006/relationships/hyperlink" Target="http://www.dailygammon.com/bg/user/39676" TargetMode="External"/><Relationship Id="rId15" Type="http://schemas.openxmlformats.org/officeDocument/2006/relationships/hyperlink" Target="http://www.dailygammon.com/bg/user/32477" TargetMode="External"/><Relationship Id="rId36" Type="http://schemas.openxmlformats.org/officeDocument/2006/relationships/hyperlink" Target="http://www.dailygammon.com/bg/user/25562" TargetMode="External"/><Relationship Id="rId57" Type="http://schemas.openxmlformats.org/officeDocument/2006/relationships/hyperlink" Target="http://www.dailygammon.com/bg/user/28804" TargetMode="External"/><Relationship Id="rId106" Type="http://schemas.openxmlformats.org/officeDocument/2006/relationships/hyperlink" Target="http://www.dailygammon.com/bg/user/27176" TargetMode="External"/><Relationship Id="rId127" Type="http://schemas.openxmlformats.org/officeDocument/2006/relationships/hyperlink" Target="http://www.dailygammon.com/bg/user/22426" TargetMode="External"/><Relationship Id="rId10" Type="http://schemas.openxmlformats.org/officeDocument/2006/relationships/hyperlink" Target="http://www.dailygammon.com/bg/user/27176" TargetMode="External"/><Relationship Id="rId31" Type="http://schemas.openxmlformats.org/officeDocument/2006/relationships/hyperlink" Target="http://www.dailygammon.com/bg/user/28804" TargetMode="External"/><Relationship Id="rId52" Type="http://schemas.openxmlformats.org/officeDocument/2006/relationships/hyperlink" Target="http://www.dailygammon.com/bg/user/21796" TargetMode="External"/><Relationship Id="rId73" Type="http://schemas.openxmlformats.org/officeDocument/2006/relationships/hyperlink" Target="http://www.dailygammon.com/bg/user/22416" TargetMode="External"/><Relationship Id="rId78" Type="http://schemas.openxmlformats.org/officeDocument/2006/relationships/hyperlink" Target="http://www.dailygammon.com/bg/user/22426" TargetMode="External"/><Relationship Id="rId94" Type="http://schemas.openxmlformats.org/officeDocument/2006/relationships/hyperlink" Target="http://www.dailygammon.com/bg/user/28804" TargetMode="External"/><Relationship Id="rId99" Type="http://schemas.openxmlformats.org/officeDocument/2006/relationships/hyperlink" Target="http://www.dailygammon.com/bg/user/33060" TargetMode="External"/><Relationship Id="rId101" Type="http://schemas.openxmlformats.org/officeDocument/2006/relationships/hyperlink" Target="http://www.dailygammon.com/bg/user/22416" TargetMode="External"/><Relationship Id="rId122" Type="http://schemas.openxmlformats.org/officeDocument/2006/relationships/hyperlink" Target="http://www.dailygammon.com/bg/user/28804" TargetMode="External"/><Relationship Id="rId143" Type="http://schemas.openxmlformats.org/officeDocument/2006/relationships/hyperlink" Target="http://www.dailygammon.com/bg/user/24760" TargetMode="External"/><Relationship Id="rId148" Type="http://schemas.openxmlformats.org/officeDocument/2006/relationships/hyperlink" Target="http://www.dailygammon.com/bg/user/28804" TargetMode="External"/><Relationship Id="rId164" Type="http://schemas.openxmlformats.org/officeDocument/2006/relationships/hyperlink" Target="http://www.dailygammon.com/bg/user/27176" TargetMode="External"/><Relationship Id="rId169" Type="http://schemas.openxmlformats.org/officeDocument/2006/relationships/hyperlink" Target="http://www.dailygammon.com/bg/user/31952" TargetMode="External"/><Relationship Id="rId185" Type="http://schemas.openxmlformats.org/officeDocument/2006/relationships/hyperlink" Target="http://www.dailygammon.com/bg/user/27176" TargetMode="External"/><Relationship Id="rId4" Type="http://schemas.openxmlformats.org/officeDocument/2006/relationships/hyperlink" Target="http://www.dailygammon.com/bg/user/22426" TargetMode="External"/><Relationship Id="rId9" Type="http://schemas.openxmlformats.org/officeDocument/2006/relationships/hyperlink" Target="mailto:rainer.rogatzki@web.de" TargetMode="External"/><Relationship Id="rId180" Type="http://schemas.openxmlformats.org/officeDocument/2006/relationships/hyperlink" Target="http://www.dailygammon.com/bg/user/21796" TargetMode="External"/><Relationship Id="rId26" Type="http://schemas.openxmlformats.org/officeDocument/2006/relationships/hyperlink" Target="http://www.dailygammon.com/bg/user/28804" TargetMode="External"/><Relationship Id="rId47" Type="http://schemas.openxmlformats.org/officeDocument/2006/relationships/hyperlink" Target="http://www.dailygammon.com/bg/user/33060" TargetMode="External"/><Relationship Id="rId68" Type="http://schemas.openxmlformats.org/officeDocument/2006/relationships/hyperlink" Target="http://www.dailygammon.com/bg/user/28330" TargetMode="External"/><Relationship Id="rId89" Type="http://schemas.openxmlformats.org/officeDocument/2006/relationships/hyperlink" Target="http://www.dailygammon.com/bg/user/21796" TargetMode="External"/><Relationship Id="rId112" Type="http://schemas.openxmlformats.org/officeDocument/2006/relationships/hyperlink" Target="mailto:kerstin.dobrindt@outlook.de" TargetMode="External"/><Relationship Id="rId133" Type="http://schemas.openxmlformats.org/officeDocument/2006/relationships/hyperlink" Target="http://www.dailygammon.com/bg/user/33060" TargetMode="External"/><Relationship Id="rId154" Type="http://schemas.openxmlformats.org/officeDocument/2006/relationships/hyperlink" Target="http://www.dailygammon.com/bg/user/21796" TargetMode="External"/><Relationship Id="rId175" Type="http://schemas.openxmlformats.org/officeDocument/2006/relationships/hyperlink" Target="http://www.dailygammon.com/bg/user/39676" TargetMode="External"/><Relationship Id="rId16" Type="http://schemas.openxmlformats.org/officeDocument/2006/relationships/hyperlink" Target="http://www.dailygammon.com/bg/user/28804" TargetMode="External"/><Relationship Id="rId37" Type="http://schemas.openxmlformats.org/officeDocument/2006/relationships/hyperlink" Target="http://www.dailygammon.com/bg/user/20617" TargetMode="External"/><Relationship Id="rId58" Type="http://schemas.openxmlformats.org/officeDocument/2006/relationships/hyperlink" Target="http://www.dailygammon.com/bg/user/25562" TargetMode="External"/><Relationship Id="rId79" Type="http://schemas.openxmlformats.org/officeDocument/2006/relationships/hyperlink" Target="http://www.dailygammon.com/bg/user/28804" TargetMode="External"/><Relationship Id="rId102" Type="http://schemas.openxmlformats.org/officeDocument/2006/relationships/hyperlink" Target="http://www.dailygammon.com/bg/user/22416" TargetMode="External"/><Relationship Id="rId123" Type="http://schemas.openxmlformats.org/officeDocument/2006/relationships/hyperlink" Target="http://www.dailygammon.com/bg/user/20617" TargetMode="External"/><Relationship Id="rId144" Type="http://schemas.openxmlformats.org/officeDocument/2006/relationships/hyperlink" Target="http://www.dailygammon.com/bg/user/27176" TargetMode="External"/><Relationship Id="rId90" Type="http://schemas.openxmlformats.org/officeDocument/2006/relationships/hyperlink" Target="http://www.dailygammon.com/bg/user/21067" TargetMode="External"/><Relationship Id="rId165" Type="http://schemas.openxmlformats.org/officeDocument/2006/relationships/hyperlink" Target="http://www.dailygammon.com/bg/user/21796" TargetMode="External"/><Relationship Id="rId186" Type="http://schemas.openxmlformats.org/officeDocument/2006/relationships/hyperlink" Target="http://www.dailygammon.com/bg/user/33060" TargetMode="External"/><Relationship Id="rId27" Type="http://schemas.openxmlformats.org/officeDocument/2006/relationships/hyperlink" Target="http://www.dailygammon.com/bg/user/28804" TargetMode="External"/><Relationship Id="rId48" Type="http://schemas.openxmlformats.org/officeDocument/2006/relationships/hyperlink" Target="http://www.dailygammon.com/bg/user/20617" TargetMode="External"/><Relationship Id="rId69" Type="http://schemas.openxmlformats.org/officeDocument/2006/relationships/hyperlink" Target="http://www.dailygammon.com/bg/user/25562" TargetMode="External"/><Relationship Id="rId113" Type="http://schemas.openxmlformats.org/officeDocument/2006/relationships/hyperlink" Target="mailto:kerstin.dobrindt@outlook.de" TargetMode="External"/><Relationship Id="rId134" Type="http://schemas.openxmlformats.org/officeDocument/2006/relationships/hyperlink" Target="http://www.dailygammon.com/bg/user/32477" TargetMode="External"/><Relationship Id="rId80" Type="http://schemas.openxmlformats.org/officeDocument/2006/relationships/hyperlink" Target="http://www.dailygammon.com/bg/user/21067" TargetMode="External"/><Relationship Id="rId155" Type="http://schemas.openxmlformats.org/officeDocument/2006/relationships/hyperlink" Target="http://www.dailygammon.com/bg/user/22426" TargetMode="External"/><Relationship Id="rId176" Type="http://schemas.openxmlformats.org/officeDocument/2006/relationships/hyperlink" Target="http://www.dailygammon.com/bg/user/11977" TargetMode="External"/><Relationship Id="rId17" Type="http://schemas.openxmlformats.org/officeDocument/2006/relationships/hyperlink" Target="http://www.dailygammon.com/bg/user/28804" TargetMode="External"/><Relationship Id="rId38" Type="http://schemas.openxmlformats.org/officeDocument/2006/relationships/hyperlink" Target="http://www.dailygammon.com/bg/user/28804" TargetMode="External"/><Relationship Id="rId59" Type="http://schemas.openxmlformats.org/officeDocument/2006/relationships/hyperlink" Target="http://www.dailygammon.com/bg/user/33060" TargetMode="External"/><Relationship Id="rId103" Type="http://schemas.openxmlformats.org/officeDocument/2006/relationships/hyperlink" Target="http://www.dailygammon.com/bg/user/20617" TargetMode="External"/><Relationship Id="rId124" Type="http://schemas.openxmlformats.org/officeDocument/2006/relationships/hyperlink" Target="http://www.dailygammon.com/bg/user/20617" TargetMode="External"/><Relationship Id="rId70" Type="http://schemas.openxmlformats.org/officeDocument/2006/relationships/hyperlink" Target="http://www.dailygammon.com/bg/user/22426" TargetMode="External"/><Relationship Id="rId91" Type="http://schemas.openxmlformats.org/officeDocument/2006/relationships/hyperlink" Target="http://www.dailygammon.com/bg/user/24760" TargetMode="External"/><Relationship Id="rId145" Type="http://schemas.openxmlformats.org/officeDocument/2006/relationships/hyperlink" Target="http://www.dailygammon.com/bg/user/33060" TargetMode="External"/><Relationship Id="rId166" Type="http://schemas.openxmlformats.org/officeDocument/2006/relationships/hyperlink" Target="http://www.dailygammon.com/bg/user/39676" TargetMode="External"/><Relationship Id="rId187" Type="http://schemas.openxmlformats.org/officeDocument/2006/relationships/hyperlink" Target="http://www.dailygammon.com/bg/user/33060" TargetMode="External"/><Relationship Id="rId1" Type="http://schemas.openxmlformats.org/officeDocument/2006/relationships/hyperlink" Target="mailto:andreas0305@googlemail.com" TargetMode="External"/><Relationship Id="rId28" Type="http://schemas.openxmlformats.org/officeDocument/2006/relationships/hyperlink" Target="http://www.dailygammon.com/bg/user/28804" TargetMode="External"/><Relationship Id="rId49" Type="http://schemas.openxmlformats.org/officeDocument/2006/relationships/hyperlink" Target="http://www.dailygammon.com/bg/user/22416" TargetMode="External"/><Relationship Id="rId114" Type="http://schemas.openxmlformats.org/officeDocument/2006/relationships/hyperlink" Target="mailto:kerstin.dobrindt@outlook.de" TargetMode="External"/><Relationship Id="rId60" Type="http://schemas.openxmlformats.org/officeDocument/2006/relationships/hyperlink" Target="http://www.dailygammon.com/bg/user/33060" TargetMode="External"/><Relationship Id="rId81" Type="http://schemas.openxmlformats.org/officeDocument/2006/relationships/hyperlink" Target="http://www.dailygammon.com/bg/user/28804" TargetMode="External"/><Relationship Id="rId135" Type="http://schemas.openxmlformats.org/officeDocument/2006/relationships/hyperlink" Target="http://www.dailygammon.com/bg/user/30367" TargetMode="External"/><Relationship Id="rId156" Type="http://schemas.openxmlformats.org/officeDocument/2006/relationships/hyperlink" Target="http://www.dailygammon.com/bg/user/22426" TargetMode="External"/><Relationship Id="rId177" Type="http://schemas.openxmlformats.org/officeDocument/2006/relationships/hyperlink" Target="http://www.dailygammon.com/bg/user/22809" TargetMode="External"/><Relationship Id="rId18" Type="http://schemas.openxmlformats.org/officeDocument/2006/relationships/hyperlink" Target="http://www.dailygammon.com/bg/user/24760" TargetMode="External"/><Relationship Id="rId39" Type="http://schemas.openxmlformats.org/officeDocument/2006/relationships/hyperlink" Target="http://www.dailygammon.com/bg/user/21796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document/d/1hG1Rc2r7Gby__zCoWcEbDgdynajTG2XBhRnLSiaeI4M/edit?usp=sharing" TargetMode="External"/><Relationship Id="rId13" Type="http://schemas.openxmlformats.org/officeDocument/2006/relationships/hyperlink" Target="https://docs.google.com/document/d/1jPB2I3DsnkI38eGeINmDT02diyyyBZYUocUy6mqm9D8/edit?usp=sharing" TargetMode="External"/><Relationship Id="rId3" Type="http://schemas.openxmlformats.org/officeDocument/2006/relationships/hyperlink" Target="https://docs.google.com/document/d/1J2R9-Y0-BjmETzhcS1xiaqj75xNBTWtAPB4mo2PXEbg/edit?usp=sharing" TargetMode="External"/><Relationship Id="rId7" Type="http://schemas.openxmlformats.org/officeDocument/2006/relationships/hyperlink" Target="https://docs.google.com/document/d/1gRO2ppOTMAxEMPF25pkHyOdvkIa9at6rlUZlvQCItAg/edit?usp=sharing" TargetMode="External"/><Relationship Id="rId12" Type="http://schemas.openxmlformats.org/officeDocument/2006/relationships/hyperlink" Target="https://docs.google.com/document/d/1VLPMpqeL4ihbHp9MKt7ocRt67VgEQrfWp2g8Wpq8oCg/edit?usp=sharing" TargetMode="External"/><Relationship Id="rId2" Type="http://schemas.openxmlformats.org/officeDocument/2006/relationships/hyperlink" Target="https://docs.google.com/document/d/1360BrrE-9e0gaGZLk02IGnwLcK1k_0U71u1tos7BtK0/edit?usp=sharing" TargetMode="External"/><Relationship Id="rId1" Type="http://schemas.openxmlformats.org/officeDocument/2006/relationships/hyperlink" Target="https://docs.google.com/document/d/1BYk1IEMcSyYIAyi8mYPhFM1U6VxbZDnpRnmYaZcedzM/edit?usp=sharing" TargetMode="External"/><Relationship Id="rId6" Type="http://schemas.openxmlformats.org/officeDocument/2006/relationships/hyperlink" Target="https://docs.google.com/document/d/1NvBOZWTO6DPDuGoxbczcO6F-JU6MOXtyMa3qwyto9dM/edit?usp=sharing" TargetMode="External"/><Relationship Id="rId11" Type="http://schemas.openxmlformats.org/officeDocument/2006/relationships/hyperlink" Target="https://docs.google.com/document/d/1q0oLuol0P3nwvgePUw6VccufjF634UkED8b3vpb_J5g/edit?usp=sharing" TargetMode="External"/><Relationship Id="rId5" Type="http://schemas.openxmlformats.org/officeDocument/2006/relationships/hyperlink" Target="https://docs.google.com/document/d/1NS62TCWSHT4yrxkVm8rRMvS8Gx-B7lN2C02EQi9tRHg/edit?usp=sharing" TargetMode="External"/><Relationship Id="rId10" Type="http://schemas.openxmlformats.org/officeDocument/2006/relationships/hyperlink" Target="https://docs.google.com/document/d/15f67oNF5dOSanGycuwtIlAYcPkkZ7CTOv6vjYp5wmKw/edit?usp=sharing" TargetMode="External"/><Relationship Id="rId4" Type="http://schemas.openxmlformats.org/officeDocument/2006/relationships/hyperlink" Target="https://docs.google.com/document/d/19XIQGoCCqjucvW26yMS2-5E0wkwTjS4NNGbKpRENELs/edit?usp=sharing" TargetMode="External"/><Relationship Id="rId9" Type="http://schemas.openxmlformats.org/officeDocument/2006/relationships/hyperlink" Target="https://docs.google.com/document/d/1wF_hL8eKnN9LUsQ2K5jxzmCLDF_se6C7IkjzCDJs49Q/edit?usp=sharing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ailygammon.com/bg/user/36594" TargetMode="External"/><Relationship Id="rId13" Type="http://schemas.openxmlformats.org/officeDocument/2006/relationships/hyperlink" Target="mailto:paulcaesar@gmail.com" TargetMode="External"/><Relationship Id="rId18" Type="http://schemas.openxmlformats.org/officeDocument/2006/relationships/hyperlink" Target="mailto:sarazarembski@icloud.com" TargetMode="External"/><Relationship Id="rId3" Type="http://schemas.openxmlformats.org/officeDocument/2006/relationships/hyperlink" Target="mailto:m.brueggemeier@posteo.de" TargetMode="External"/><Relationship Id="rId7" Type="http://schemas.openxmlformats.org/officeDocument/2006/relationships/hyperlink" Target="http://www.dailygammon.com/bg/user/38369" TargetMode="External"/><Relationship Id="rId12" Type="http://schemas.openxmlformats.org/officeDocument/2006/relationships/hyperlink" Target="mailto:qswanger@gmail.com" TargetMode="External"/><Relationship Id="rId17" Type="http://schemas.openxmlformats.org/officeDocument/2006/relationships/hyperlink" Target="http://www.dailygammon.com/bg/user/38806" TargetMode="External"/><Relationship Id="rId2" Type="http://schemas.openxmlformats.org/officeDocument/2006/relationships/hyperlink" Target="http://www.dailygammon.com/bg/user/15774" TargetMode="External"/><Relationship Id="rId16" Type="http://schemas.openxmlformats.org/officeDocument/2006/relationships/hyperlink" Target="http://www.dailygammon.com/bg/user/38806" TargetMode="External"/><Relationship Id="rId1" Type="http://schemas.openxmlformats.org/officeDocument/2006/relationships/hyperlink" Target="http://www.dailygammon.com/bg/user/15774" TargetMode="External"/><Relationship Id="rId6" Type="http://schemas.openxmlformats.org/officeDocument/2006/relationships/hyperlink" Target="mailto:richter4519716@gmail.com" TargetMode="External"/><Relationship Id="rId11" Type="http://schemas.openxmlformats.org/officeDocument/2006/relationships/hyperlink" Target="http://www.dailygammon.com/bg/user/38369" TargetMode="External"/><Relationship Id="rId5" Type="http://schemas.openxmlformats.org/officeDocument/2006/relationships/hyperlink" Target="http://www.dailygammon.com/bg/user/8801" TargetMode="External"/><Relationship Id="rId15" Type="http://schemas.openxmlformats.org/officeDocument/2006/relationships/hyperlink" Target="http://www.dailygammon.com/bg/user/16354" TargetMode="External"/><Relationship Id="rId10" Type="http://schemas.openxmlformats.org/officeDocument/2006/relationships/hyperlink" Target="mailto:agsteiner@mailbox.org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://www.dailygammon.com/bg/user/8801" TargetMode="External"/><Relationship Id="rId9" Type="http://schemas.openxmlformats.org/officeDocument/2006/relationships/hyperlink" Target="http://www.dailygammon.com/bg/user/36594" TargetMode="External"/><Relationship Id="rId14" Type="http://schemas.openxmlformats.org/officeDocument/2006/relationships/hyperlink" Target="http://www.dailygammon.com/bg/user/1635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30386-83F4-42E6-8F07-88B899457729}">
  <sheetPr codeName="Tabelle8">
    <pageSetUpPr fitToPage="1"/>
  </sheetPr>
  <dimension ref="B1:L14"/>
  <sheetViews>
    <sheetView workbookViewId="0">
      <selection activeCell="K3" sqref="K3:K11"/>
    </sheetView>
  </sheetViews>
  <sheetFormatPr baseColWidth="10" defaultColWidth="19.90625" defaultRowHeight="14.5" x14ac:dyDescent="0.35"/>
  <cols>
    <col min="1" max="1" width="3.81640625" customWidth="1"/>
    <col min="2" max="2" width="16.08984375" bestFit="1" customWidth="1"/>
    <col min="3" max="4" width="16.08984375" customWidth="1"/>
    <col min="5" max="5" width="16.08984375" bestFit="1" customWidth="1"/>
    <col min="6" max="6" width="15.90625" bestFit="1" customWidth="1"/>
    <col min="7" max="7" width="15.90625" customWidth="1"/>
    <col min="8" max="9" width="16.08984375" bestFit="1" customWidth="1"/>
    <col min="10" max="10" width="3.81640625" customWidth="1"/>
    <col min="12" max="12" width="4.453125" bestFit="1" customWidth="1"/>
    <col min="13" max="13" width="3.81640625" customWidth="1"/>
  </cols>
  <sheetData>
    <row r="1" spans="2:12" ht="26" x14ac:dyDescent="0.6">
      <c r="B1" s="52" t="s">
        <v>786</v>
      </c>
      <c r="C1" s="52"/>
      <c r="D1" s="52"/>
      <c r="E1" s="52"/>
      <c r="F1" s="52"/>
      <c r="G1" s="52"/>
      <c r="H1" s="52"/>
      <c r="I1" s="26"/>
    </row>
    <row r="2" spans="2:12" ht="15" thickBot="1" x14ac:dyDescent="0.4">
      <c r="K2" s="54" t="s">
        <v>718</v>
      </c>
      <c r="L2" s="54"/>
    </row>
    <row r="3" spans="2:12" ht="59" thickTop="1" thickBot="1" x14ac:dyDescent="0.4">
      <c r="E3" s="9" t="s">
        <v>699</v>
      </c>
      <c r="K3" s="28">
        <v>10</v>
      </c>
      <c r="L3" s="28"/>
    </row>
    <row r="4" spans="2:12" ht="15.5" thickTop="1" thickBot="1" x14ac:dyDescent="0.4">
      <c r="E4" s="8"/>
      <c r="K4" s="28"/>
      <c r="L4" s="28"/>
    </row>
    <row r="5" spans="2:12" ht="59" thickTop="1" thickBot="1" x14ac:dyDescent="0.4">
      <c r="D5" s="9" t="s">
        <v>700</v>
      </c>
      <c r="F5" s="9" t="s">
        <v>701</v>
      </c>
      <c r="K5" s="28">
        <v>20</v>
      </c>
      <c r="L5" s="28"/>
    </row>
    <row r="6" spans="2:12" ht="15.5" thickTop="1" thickBot="1" x14ac:dyDescent="0.4">
      <c r="E6" s="8"/>
      <c r="K6" s="28"/>
      <c r="L6" s="28"/>
    </row>
    <row r="7" spans="2:12" ht="59" thickTop="1" thickBot="1" x14ac:dyDescent="0.4">
      <c r="C7" s="9" t="s">
        <v>702</v>
      </c>
      <c r="E7" s="9" t="s">
        <v>703</v>
      </c>
      <c r="G7" s="9" t="s">
        <v>704</v>
      </c>
      <c r="K7" s="28">
        <v>30</v>
      </c>
      <c r="L7" s="28"/>
    </row>
    <row r="8" spans="2:12" ht="15.5" thickTop="1" thickBot="1" x14ac:dyDescent="0.4">
      <c r="E8" s="8"/>
      <c r="K8" s="28"/>
      <c r="L8" s="28"/>
    </row>
    <row r="9" spans="2:12" ht="57.65" customHeight="1" thickTop="1" thickBot="1" x14ac:dyDescent="0.4">
      <c r="B9" s="10" t="s">
        <v>705</v>
      </c>
      <c r="D9" s="10" t="s">
        <v>708</v>
      </c>
      <c r="F9" s="10" t="s">
        <v>707</v>
      </c>
      <c r="H9" s="10" t="s">
        <v>706</v>
      </c>
      <c r="K9" s="28">
        <v>40</v>
      </c>
      <c r="L9" s="28"/>
    </row>
    <row r="10" spans="2:12" ht="14.4" customHeight="1" thickTop="1" thickBot="1" x14ac:dyDescent="0.4">
      <c r="D10" s="4"/>
      <c r="F10" s="4"/>
      <c r="K10" s="28"/>
      <c r="L10" s="28"/>
    </row>
    <row r="11" spans="2:12" ht="59" thickTop="1" thickBot="1" x14ac:dyDescent="0.4">
      <c r="C11" s="9" t="s">
        <v>715</v>
      </c>
      <c r="E11" s="9" t="s">
        <v>716</v>
      </c>
      <c r="G11" s="9" t="s">
        <v>717</v>
      </c>
      <c r="H11" s="8"/>
      <c r="I11" s="27" t="s">
        <v>710</v>
      </c>
      <c r="K11" s="28">
        <v>30</v>
      </c>
      <c r="L11" s="29">
        <v>10</v>
      </c>
    </row>
    <row r="12" spans="2:12" ht="15" thickTop="1" x14ac:dyDescent="0.35">
      <c r="B12" s="8"/>
      <c r="C12" s="8"/>
      <c r="D12" s="8"/>
      <c r="F12" s="8"/>
      <c r="G12" s="8"/>
      <c r="H12" s="8"/>
      <c r="I12" s="8"/>
    </row>
    <row r="14" spans="2:12" x14ac:dyDescent="0.35">
      <c r="H14" s="53" t="s">
        <v>709</v>
      </c>
      <c r="I14" s="53"/>
      <c r="J14" s="53"/>
      <c r="K14">
        <f>SUM(K2:K11)</f>
        <v>130</v>
      </c>
      <c r="L14" t="str">
        <f xml:space="preserve"> "+ " &amp; L11</f>
        <v>+ 10</v>
      </c>
    </row>
  </sheetData>
  <mergeCells count="3">
    <mergeCell ref="B1:H1"/>
    <mergeCell ref="H14:J14"/>
    <mergeCell ref="K2:L2"/>
  </mergeCells>
  <printOptions horizontalCentered="1" verticalCentered="1"/>
  <pageMargins left="0.70866141732283472" right="0.70866141732283472" top="0.78740157480314965" bottom="0.78740157480314965" header="0.31496062992125984" footer="0.31496062992125984"/>
  <pageSetup paperSize="9" scale="81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24B8-271A-4DC2-8B60-2042C0288FA0}">
  <sheetPr codeName="Tabelle3"/>
  <dimension ref="A1:C20"/>
  <sheetViews>
    <sheetView workbookViewId="0">
      <pane ySplit="1" topLeftCell="A2" activePane="bottomLeft" state="frozen"/>
      <selection pane="bottomLeft" activeCell="C4" sqref="C4"/>
    </sheetView>
  </sheetViews>
  <sheetFormatPr baseColWidth="10" defaultRowHeight="14.5" x14ac:dyDescent="0.35"/>
  <cols>
    <col min="1" max="1" width="8.1796875" bestFit="1" customWidth="1"/>
    <col min="2" max="2" width="37.1796875" bestFit="1" customWidth="1"/>
    <col min="3" max="3" width="12.36328125" bestFit="1" customWidth="1"/>
  </cols>
  <sheetData>
    <row r="1" spans="1:3" x14ac:dyDescent="0.35">
      <c r="A1" t="s">
        <v>565</v>
      </c>
      <c r="B1" t="s">
        <v>564</v>
      </c>
      <c r="C1" t="s">
        <v>563</v>
      </c>
    </row>
    <row r="2" spans="1:3" x14ac:dyDescent="0.35">
      <c r="A2" t="s">
        <v>562</v>
      </c>
      <c r="B2" t="s">
        <v>620</v>
      </c>
      <c r="C2" t="s">
        <v>566</v>
      </c>
    </row>
    <row r="3" spans="1:3" x14ac:dyDescent="0.35">
      <c r="A3" t="s">
        <v>561</v>
      </c>
      <c r="B3" t="s">
        <v>615</v>
      </c>
      <c r="C3" t="s">
        <v>624</v>
      </c>
    </row>
    <row r="4" spans="1:3" x14ac:dyDescent="0.35">
      <c r="A4" t="s">
        <v>560</v>
      </c>
      <c r="B4" t="s">
        <v>619</v>
      </c>
      <c r="C4" t="s">
        <v>623</v>
      </c>
    </row>
    <row r="5" spans="1:3" x14ac:dyDescent="0.35">
      <c r="A5" t="s">
        <v>558</v>
      </c>
      <c r="B5" t="s">
        <v>559</v>
      </c>
      <c r="C5" t="s">
        <v>567</v>
      </c>
    </row>
    <row r="6" spans="1:3" x14ac:dyDescent="0.35">
      <c r="A6" t="s">
        <v>557</v>
      </c>
      <c r="B6" t="s">
        <v>336</v>
      </c>
      <c r="C6" t="s">
        <v>568</v>
      </c>
    </row>
    <row r="7" spans="1:3" x14ac:dyDescent="0.35">
      <c r="A7" t="s">
        <v>556</v>
      </c>
      <c r="B7" t="s">
        <v>398</v>
      </c>
      <c r="C7" t="s">
        <v>569</v>
      </c>
    </row>
    <row r="8" spans="1:3" x14ac:dyDescent="0.35">
      <c r="A8" t="s">
        <v>555</v>
      </c>
      <c r="B8" t="s">
        <v>4</v>
      </c>
      <c r="C8" t="s">
        <v>570</v>
      </c>
    </row>
    <row r="9" spans="1:3" x14ac:dyDescent="0.35">
      <c r="A9" t="s">
        <v>553</v>
      </c>
      <c r="B9" t="s">
        <v>554</v>
      </c>
      <c r="C9" t="s">
        <v>571</v>
      </c>
    </row>
    <row r="10" spans="1:3" x14ac:dyDescent="0.35">
      <c r="A10" t="s">
        <v>551</v>
      </c>
      <c r="B10" t="s">
        <v>552</v>
      </c>
      <c r="C10" t="s">
        <v>572</v>
      </c>
    </row>
    <row r="11" spans="1:3" x14ac:dyDescent="0.35">
      <c r="A11" t="s">
        <v>549</v>
      </c>
      <c r="B11" t="s">
        <v>550</v>
      </c>
      <c r="C11" t="s">
        <v>573</v>
      </c>
    </row>
    <row r="12" spans="1:3" x14ac:dyDescent="0.35">
      <c r="A12" t="s">
        <v>548</v>
      </c>
      <c r="B12" t="s">
        <v>5</v>
      </c>
      <c r="C12" t="s">
        <v>574</v>
      </c>
    </row>
    <row r="13" spans="1:3" x14ac:dyDescent="0.35">
      <c r="A13" t="s">
        <v>547</v>
      </c>
      <c r="B13" t="s">
        <v>364</v>
      </c>
      <c r="C13" t="s">
        <v>575</v>
      </c>
    </row>
    <row r="14" spans="1:3" x14ac:dyDescent="0.35">
      <c r="A14" t="s">
        <v>546</v>
      </c>
      <c r="B14" t="s">
        <v>14</v>
      </c>
      <c r="C14" t="s">
        <v>576</v>
      </c>
    </row>
    <row r="15" spans="1:3" x14ac:dyDescent="0.35">
      <c r="A15" t="s">
        <v>545</v>
      </c>
      <c r="B15" t="s">
        <v>260</v>
      </c>
      <c r="C15" t="s">
        <v>577</v>
      </c>
    </row>
    <row r="16" spans="1:3" x14ac:dyDescent="0.35">
      <c r="A16" t="s">
        <v>544</v>
      </c>
      <c r="B16" t="s">
        <v>386</v>
      </c>
      <c r="C16" t="s">
        <v>578</v>
      </c>
    </row>
    <row r="17" spans="1:3" x14ac:dyDescent="0.35">
      <c r="A17" t="s">
        <v>543</v>
      </c>
      <c r="B17" t="s">
        <v>540</v>
      </c>
      <c r="C17" t="s">
        <v>579</v>
      </c>
    </row>
    <row r="18" spans="1:3" x14ac:dyDescent="0.35">
      <c r="A18" t="s">
        <v>542</v>
      </c>
      <c r="B18" t="s">
        <v>387</v>
      </c>
      <c r="C18" t="s">
        <v>580</v>
      </c>
    </row>
    <row r="19" spans="1:3" x14ac:dyDescent="0.35">
      <c r="A19" t="s">
        <v>541</v>
      </c>
      <c r="B19" t="s">
        <v>388</v>
      </c>
      <c r="C19" t="s">
        <v>581</v>
      </c>
    </row>
    <row r="20" spans="1:3" x14ac:dyDescent="0.35">
      <c r="A20" t="s">
        <v>622</v>
      </c>
      <c r="B20" t="s">
        <v>394</v>
      </c>
      <c r="C20" t="s">
        <v>582</v>
      </c>
    </row>
  </sheetData>
  <autoFilter ref="A1:C1" xr:uid="{301F20A6-71DC-450A-826A-E176724F47DB}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9AF0B-2C83-41D8-93A9-121A6F000F14}">
  <sheetPr codeName="Tabelle5" filterMode="1"/>
  <dimension ref="A1:AB193"/>
  <sheetViews>
    <sheetView tabSelected="1" zoomScale="115" zoomScaleNormal="115" workbookViewId="0">
      <pane xSplit="10" ySplit="1" topLeftCell="Z52" activePane="bottomRight" state="frozen"/>
      <selection activeCell="B185" sqref="B185"/>
      <selection pane="topRight" activeCell="B185" sqref="B185"/>
      <selection pane="bottomLeft" activeCell="B185" sqref="B185"/>
      <selection pane="bottomRight" activeCell="J52" sqref="J52:Z61"/>
    </sheetView>
  </sheetViews>
  <sheetFormatPr baseColWidth="10" defaultColWidth="11.54296875" defaultRowHeight="14.5" x14ac:dyDescent="0.35"/>
  <cols>
    <col min="1" max="1" width="13.54296875" style="2" customWidth="1"/>
    <col min="2" max="2" width="11.1796875" style="51" bestFit="1" customWidth="1"/>
    <col min="3" max="3" width="13.54296875" style="2" customWidth="1"/>
    <col min="4" max="4" width="14.08984375" style="2" customWidth="1"/>
    <col min="5" max="5" width="14.81640625" style="2" bestFit="1" customWidth="1"/>
    <col min="6" max="6" width="13.54296875" style="2" customWidth="1"/>
    <col min="7" max="7" width="7.453125" style="2" customWidth="1"/>
    <col min="8" max="9" width="9.81640625" style="2" customWidth="1"/>
    <col min="10" max="10" width="19" style="2" customWidth="1"/>
    <col min="11" max="11" width="10.36328125" style="2" hidden="1" customWidth="1"/>
    <col min="12" max="12" width="14.90625" style="2" hidden="1" customWidth="1"/>
    <col min="13" max="13" width="17.36328125" style="2" hidden="1" customWidth="1"/>
    <col min="14" max="14" width="24" style="2" hidden="1" customWidth="1"/>
    <col min="15" max="15" width="14.453125" style="2" hidden="1" customWidth="1"/>
    <col min="16" max="16" width="23.54296875" style="2" hidden="1" customWidth="1"/>
    <col min="17" max="17" width="34.453125" style="2" hidden="1" customWidth="1"/>
    <col min="18" max="18" width="7.453125" style="2" hidden="1" customWidth="1"/>
    <col min="19" max="19" width="65.1796875" style="2" hidden="1" customWidth="1"/>
    <col min="20" max="20" width="9.08984375" style="2" hidden="1" customWidth="1"/>
    <col min="21" max="21" width="8.6328125" style="2" hidden="1" customWidth="1"/>
    <col min="22" max="22" width="12.1796875" style="2" hidden="1" customWidth="1"/>
    <col min="23" max="23" width="91" style="2" hidden="1" customWidth="1"/>
    <col min="24" max="24" width="20.1796875" style="2" hidden="1" customWidth="1"/>
    <col min="25" max="25" width="23.453125" style="14" hidden="1" customWidth="1"/>
    <col min="26" max="26" width="127.81640625" style="2" customWidth="1"/>
    <col min="27" max="27" width="19.08984375" style="2" customWidth="1"/>
    <col min="28" max="28" width="23.453125" style="2" customWidth="1"/>
    <col min="29" max="16384" width="11.54296875" style="2"/>
  </cols>
  <sheetData>
    <row r="1" spans="1:28" ht="87" x14ac:dyDescent="0.35">
      <c r="A1" s="5" t="s">
        <v>629</v>
      </c>
      <c r="B1" s="50" t="s">
        <v>620</v>
      </c>
      <c r="C1" s="5" t="s">
        <v>615</v>
      </c>
      <c r="D1" s="5" t="s">
        <v>619</v>
      </c>
      <c r="E1" s="5" t="s">
        <v>984</v>
      </c>
      <c r="F1" s="4" t="s">
        <v>397</v>
      </c>
      <c r="G1" s="5" t="s">
        <v>336</v>
      </c>
      <c r="H1" s="5" t="s">
        <v>398</v>
      </c>
      <c r="I1" s="5" t="s">
        <v>307</v>
      </c>
      <c r="J1" s="5" t="s">
        <v>4</v>
      </c>
      <c r="K1" s="5" t="s">
        <v>370</v>
      </c>
      <c r="L1" s="5" t="s">
        <v>257</v>
      </c>
      <c r="M1" s="5" t="s">
        <v>258</v>
      </c>
      <c r="N1" s="5" t="s">
        <v>5</v>
      </c>
      <c r="O1" s="5" t="s">
        <v>364</v>
      </c>
      <c r="P1" s="5" t="s">
        <v>711</v>
      </c>
      <c r="Q1" s="5" t="s">
        <v>14</v>
      </c>
      <c r="R1" s="5" t="s">
        <v>680</v>
      </c>
      <c r="S1" s="5" t="s">
        <v>260</v>
      </c>
      <c r="T1" s="5" t="s">
        <v>584</v>
      </c>
      <c r="U1" s="5" t="s">
        <v>585</v>
      </c>
      <c r="V1" s="5" t="s">
        <v>586</v>
      </c>
      <c r="W1" s="5" t="s">
        <v>386</v>
      </c>
      <c r="X1" s="16" t="s">
        <v>621</v>
      </c>
      <c r="Y1" s="15" t="s">
        <v>387</v>
      </c>
      <c r="Z1" s="5" t="s">
        <v>388</v>
      </c>
      <c r="AA1" s="5" t="s">
        <v>618</v>
      </c>
      <c r="AB1" s="5" t="s">
        <v>394</v>
      </c>
    </row>
    <row r="2" spans="1:28" x14ac:dyDescent="0.35">
      <c r="B2" s="51" t="str">
        <f>VLOOKUP(J2,Tabelle1!A:B,2,FALSE)</f>
        <v>1a</v>
      </c>
      <c r="C2" s="2">
        <v>34</v>
      </c>
      <c r="D2" s="51" t="s">
        <v>283</v>
      </c>
      <c r="E2" s="11" t="str">
        <f t="shared" ref="E2:E33" si="0">HYPERLINK(C2 &amp; IF(OR(AND(C2&gt;10,C2&lt;20),OR(MOD(C2,10)=0,MOD(C2,10)&gt;3)),"th",CHOOSE(MOD(C2,10),"st","nd","rd")) &amp; "_Backgammon-championships_" &amp; D2 &amp; ".xlsm",D2)</f>
        <v>1a</v>
      </c>
      <c r="J2" s="3" t="s">
        <v>430</v>
      </c>
      <c r="K2" s="3">
        <v>8719</v>
      </c>
      <c r="L2" s="2" t="s">
        <v>431</v>
      </c>
      <c r="N2" s="3" t="s">
        <v>429</v>
      </c>
      <c r="Q2" s="2" t="s">
        <v>432</v>
      </c>
      <c r="R2" s="2" t="s">
        <v>686</v>
      </c>
      <c r="T2" s="2">
        <v>1</v>
      </c>
      <c r="U2" s="2">
        <v>11</v>
      </c>
      <c r="V2" s="2">
        <v>12</v>
      </c>
      <c r="W2" s="1" t="str">
        <f t="shared" ref="W2:W33" si="1">"http://www.dailygammon.com/bg/invite/new?submit=invite&amp;variant=" &amp; T2 &amp; "&amp;length=" &amp; U2 &amp; "&amp;time_control=" &amp; V2 &amp; "&amp;name="</f>
        <v>http://www.dailygammon.com/bg/invite/new?submit=invite&amp;variant=1&amp;length=11&amp;time_control=12&amp;name=</v>
      </c>
      <c r="X2" s="2" t="str">
        <f t="shared" ref="X2:X33" si="2">SUBSTITUTE(IF(C2="","Wrong invitation",C2 &amp; IF(RIGHT(C2,1)="1","st",IF(RIGHT(C2,1)="2","nd",IF(RIGHT(C2,1)="3","rd","th"))) &amp; "-season-" &amp; D2)," ","%20")</f>
        <v>34th-season-1a</v>
      </c>
      <c r="Y2" s="12" t="str">
        <f t="shared" ref="Y2:Y33" si="3">IF(C2="","Wrong invitation",CONCATENATE("invite ",J2))</f>
        <v>invite API</v>
      </c>
      <c r="Z2" s="3" t="str">
        <f t="shared" ref="Z2:Z33" si="4">IF(C2="","",HYPERLINK(CONCATENATE(W2,X2,"&amp;player=",K2)))</f>
        <v>http://www.dailygammon.com/bg/invite/new?submit=invite&amp;variant=1&amp;length=11&amp;time_control=12&amp;name=34th-season-1a&amp;player=8719</v>
      </c>
      <c r="AA2" s="3" t="s">
        <v>617</v>
      </c>
      <c r="AB2" s="3" t="str">
        <f t="shared" ref="AB2:AB33" si="5">HYPERLINK(Z2,Y2)</f>
        <v>invite API</v>
      </c>
    </row>
    <row r="3" spans="1:28" x14ac:dyDescent="0.35">
      <c r="B3" s="51" t="str">
        <f>VLOOKUP(J3,Tabelle1!A:B,2,FALSE)</f>
        <v>1a</v>
      </c>
      <c r="C3" s="2">
        <v>34</v>
      </c>
      <c r="D3" s="51" t="s">
        <v>283</v>
      </c>
      <c r="E3" s="11" t="str">
        <f t="shared" si="0"/>
        <v>1a</v>
      </c>
      <c r="H3" s="2" t="s">
        <v>54</v>
      </c>
      <c r="J3" s="3" t="s">
        <v>265</v>
      </c>
      <c r="K3" s="3">
        <v>31655</v>
      </c>
      <c r="L3" s="2" t="s">
        <v>192</v>
      </c>
      <c r="N3" s="3" t="s">
        <v>302</v>
      </c>
      <c r="Q3" s="2" t="s">
        <v>303</v>
      </c>
      <c r="T3" s="2">
        <v>1</v>
      </c>
      <c r="U3" s="2">
        <v>11</v>
      </c>
      <c r="V3" s="2">
        <v>12</v>
      </c>
      <c r="W3" s="1" t="str">
        <f t="shared" si="1"/>
        <v>http://www.dailygammon.com/bg/invite/new?submit=invite&amp;variant=1&amp;length=11&amp;time_control=12&amp;name=</v>
      </c>
      <c r="X3" s="2" t="str">
        <f t="shared" si="2"/>
        <v>34th-season-1a</v>
      </c>
      <c r="Y3" s="12" t="str">
        <f t="shared" si="3"/>
        <v>invite hcc1670</v>
      </c>
      <c r="Z3" s="3" t="str">
        <f t="shared" si="4"/>
        <v>http://www.dailygammon.com/bg/invite/new?submit=invite&amp;variant=1&amp;length=11&amp;time_control=12&amp;name=34th-season-1a&amp;player=31655</v>
      </c>
      <c r="AA3" s="3" t="s">
        <v>617</v>
      </c>
      <c r="AB3" s="3" t="str">
        <f t="shared" si="5"/>
        <v>invite hcc1670</v>
      </c>
    </row>
    <row r="4" spans="1:28" x14ac:dyDescent="0.35">
      <c r="B4" s="51" t="str">
        <f>VLOOKUP(J4,Tabelle1!A:B,2,FALSE)</f>
        <v>1a</v>
      </c>
      <c r="C4" s="2">
        <v>34</v>
      </c>
      <c r="D4" s="51" t="s">
        <v>283</v>
      </c>
      <c r="E4" s="11" t="str">
        <f t="shared" si="0"/>
        <v>1a</v>
      </c>
      <c r="H4" s="2" t="s">
        <v>54</v>
      </c>
      <c r="J4" s="3" t="s">
        <v>189</v>
      </c>
      <c r="K4" s="3">
        <v>26890</v>
      </c>
      <c r="N4" s="3" t="s">
        <v>191</v>
      </c>
      <c r="O4" s="3"/>
      <c r="P4" s="3"/>
      <c r="Q4" s="2" t="s">
        <v>190</v>
      </c>
      <c r="T4" s="2">
        <v>1</v>
      </c>
      <c r="U4" s="2">
        <v>11</v>
      </c>
      <c r="V4" s="2">
        <v>12</v>
      </c>
      <c r="W4" s="1" t="str">
        <f t="shared" si="1"/>
        <v>http://www.dailygammon.com/bg/invite/new?submit=invite&amp;variant=1&amp;length=11&amp;time_control=12&amp;name=</v>
      </c>
      <c r="X4" s="2" t="str">
        <f t="shared" si="2"/>
        <v>34th-season-1a</v>
      </c>
      <c r="Y4" s="12" t="str">
        <f t="shared" si="3"/>
        <v>invite JJ Rio</v>
      </c>
      <c r="Z4" s="3" t="str">
        <f t="shared" si="4"/>
        <v>http://www.dailygammon.com/bg/invite/new?submit=invite&amp;variant=1&amp;length=11&amp;time_control=12&amp;name=34th-season-1a&amp;player=26890</v>
      </c>
      <c r="AA4" s="3" t="s">
        <v>617</v>
      </c>
      <c r="AB4" s="3" t="str">
        <f t="shared" si="5"/>
        <v>invite JJ Rio</v>
      </c>
    </row>
    <row r="5" spans="1:28" x14ac:dyDescent="0.35">
      <c r="B5" s="51" t="str">
        <f>VLOOKUP(J5,Tabelle1!A:B,2,FALSE)</f>
        <v>1a</v>
      </c>
      <c r="C5" s="2">
        <v>34</v>
      </c>
      <c r="D5" s="51" t="s">
        <v>283</v>
      </c>
      <c r="E5" s="11" t="str">
        <f t="shared" si="0"/>
        <v>1a</v>
      </c>
      <c r="H5" s="2" t="s">
        <v>54</v>
      </c>
      <c r="J5" s="3" t="s">
        <v>667</v>
      </c>
      <c r="K5" s="3">
        <v>33344</v>
      </c>
      <c r="L5" s="2" t="s">
        <v>668</v>
      </c>
      <c r="M5" s="2" t="s">
        <v>669</v>
      </c>
      <c r="N5" s="3" t="s">
        <v>670</v>
      </c>
      <c r="Q5" s="2" t="s">
        <v>180</v>
      </c>
      <c r="S5" s="2" t="s">
        <v>671</v>
      </c>
      <c r="T5" s="2">
        <v>1</v>
      </c>
      <c r="U5" s="2">
        <v>11</v>
      </c>
      <c r="V5" s="2">
        <v>12</v>
      </c>
      <c r="W5" s="1" t="str">
        <f t="shared" si="1"/>
        <v>http://www.dailygammon.com/bg/invite/new?submit=invite&amp;variant=1&amp;length=11&amp;time_control=12&amp;name=</v>
      </c>
      <c r="X5" s="2" t="str">
        <f t="shared" si="2"/>
        <v>34th-season-1a</v>
      </c>
      <c r="Y5" s="12" t="str">
        <f t="shared" si="3"/>
        <v>invite Mattias Roos</v>
      </c>
      <c r="Z5" s="3" t="str">
        <f t="shared" si="4"/>
        <v>http://www.dailygammon.com/bg/invite/new?submit=invite&amp;variant=1&amp;length=11&amp;time_control=12&amp;name=34th-season-1a&amp;player=33344</v>
      </c>
      <c r="AA5" s="3" t="s">
        <v>617</v>
      </c>
      <c r="AB5" s="3" t="str">
        <f t="shared" si="5"/>
        <v>invite Mattias Roos</v>
      </c>
    </row>
    <row r="6" spans="1:28" x14ac:dyDescent="0.35">
      <c r="B6" s="51" t="str">
        <f>VLOOKUP(J6,Tabelle1!A:B,2,FALSE)</f>
        <v>1a</v>
      </c>
      <c r="C6" s="2">
        <v>34</v>
      </c>
      <c r="D6" s="51" t="s">
        <v>283</v>
      </c>
      <c r="E6" s="11" t="str">
        <f t="shared" si="0"/>
        <v>1a</v>
      </c>
      <c r="H6" s="2" t="s">
        <v>54</v>
      </c>
      <c r="J6" s="3" t="s">
        <v>591</v>
      </c>
      <c r="K6" s="3">
        <v>33060</v>
      </c>
      <c r="L6" s="2" t="s">
        <v>124</v>
      </c>
      <c r="M6" s="2" t="s">
        <v>605</v>
      </c>
      <c r="N6" s="3" t="s">
        <v>606</v>
      </c>
      <c r="O6" s="3" t="s">
        <v>906</v>
      </c>
      <c r="Q6" s="2" t="s">
        <v>604</v>
      </c>
      <c r="S6" s="2" t="s">
        <v>607</v>
      </c>
      <c r="T6" s="2">
        <v>1</v>
      </c>
      <c r="U6" s="2">
        <v>11</v>
      </c>
      <c r="V6" s="2">
        <v>12</v>
      </c>
      <c r="W6" s="1" t="str">
        <f t="shared" si="1"/>
        <v>http://www.dailygammon.com/bg/invite/new?submit=invite&amp;variant=1&amp;length=11&amp;time_control=12&amp;name=</v>
      </c>
      <c r="X6" s="2" t="str">
        <f t="shared" si="2"/>
        <v>34th-season-1a</v>
      </c>
      <c r="Y6" s="12" t="str">
        <f t="shared" si="3"/>
        <v>invite noundog</v>
      </c>
      <c r="Z6" s="3" t="str">
        <f t="shared" si="4"/>
        <v>http://www.dailygammon.com/bg/invite/new?submit=invite&amp;variant=1&amp;length=11&amp;time_control=12&amp;name=34th-season-1a&amp;player=33060</v>
      </c>
      <c r="AA6" s="3" t="s">
        <v>617</v>
      </c>
      <c r="AB6" s="3" t="str">
        <f t="shared" si="5"/>
        <v>invite noundog</v>
      </c>
    </row>
    <row r="7" spans="1:28" x14ac:dyDescent="0.35">
      <c r="B7" s="51" t="str">
        <f>VLOOKUP(J7,Tabelle1!A:B,2,FALSE)</f>
        <v>1a</v>
      </c>
      <c r="C7" s="2">
        <v>34</v>
      </c>
      <c r="D7" s="51" t="s">
        <v>283</v>
      </c>
      <c r="E7" s="11" t="str">
        <f t="shared" si="0"/>
        <v>1a</v>
      </c>
      <c r="H7" s="2" t="s">
        <v>54</v>
      </c>
      <c r="J7" s="3" t="s">
        <v>926</v>
      </c>
      <c r="K7" s="3">
        <v>21605</v>
      </c>
      <c r="L7" s="2" t="s">
        <v>124</v>
      </c>
      <c r="N7" s="3" t="s">
        <v>125</v>
      </c>
      <c r="Q7" s="2" t="s">
        <v>126</v>
      </c>
      <c r="T7" s="2">
        <v>1</v>
      </c>
      <c r="U7" s="2">
        <v>11</v>
      </c>
      <c r="V7" s="2">
        <v>12</v>
      </c>
      <c r="W7" s="1" t="str">
        <f t="shared" si="1"/>
        <v>http://www.dailygammon.com/bg/invite/new?submit=invite&amp;variant=1&amp;length=11&amp;time_control=12&amp;name=</v>
      </c>
      <c r="X7" s="2" t="str">
        <f t="shared" si="2"/>
        <v>34th-season-1a</v>
      </c>
      <c r="Y7" s="12" t="str">
        <f t="shared" si="3"/>
        <v>invite phinneas</v>
      </c>
      <c r="Z7" s="3" t="str">
        <f t="shared" si="4"/>
        <v>http://www.dailygammon.com/bg/invite/new?submit=invite&amp;variant=1&amp;length=11&amp;time_control=12&amp;name=34th-season-1a&amp;player=21605</v>
      </c>
      <c r="AA7" s="3" t="s">
        <v>617</v>
      </c>
      <c r="AB7" s="3" t="str">
        <f t="shared" si="5"/>
        <v>invite phinneas</v>
      </c>
    </row>
    <row r="8" spans="1:28" x14ac:dyDescent="0.35">
      <c r="B8" s="51" t="str">
        <f>VLOOKUP(J8,Tabelle1!A:B,2,FALSE)</f>
        <v>1a</v>
      </c>
      <c r="C8" s="2">
        <v>34</v>
      </c>
      <c r="D8" s="51" t="s">
        <v>283</v>
      </c>
      <c r="E8" s="11" t="str">
        <f t="shared" si="0"/>
        <v>1a</v>
      </c>
      <c r="J8" s="3" t="s">
        <v>238</v>
      </c>
      <c r="K8" s="3">
        <v>14866</v>
      </c>
      <c r="L8" s="2" t="s">
        <v>237</v>
      </c>
      <c r="N8" s="3" t="s">
        <v>239</v>
      </c>
      <c r="Q8" s="2" t="s">
        <v>240</v>
      </c>
      <c r="T8" s="2">
        <v>1</v>
      </c>
      <c r="U8" s="2">
        <v>11</v>
      </c>
      <c r="V8" s="2">
        <v>12</v>
      </c>
      <c r="W8" s="1" t="str">
        <f t="shared" si="1"/>
        <v>http://www.dailygammon.com/bg/invite/new?submit=invite&amp;variant=1&amp;length=11&amp;time_control=12&amp;name=</v>
      </c>
      <c r="X8" s="2" t="str">
        <f t="shared" si="2"/>
        <v>34th-season-1a</v>
      </c>
      <c r="Y8" s="12" t="str">
        <f t="shared" si="3"/>
        <v>invite Rasp</v>
      </c>
      <c r="Z8" s="3" t="str">
        <f t="shared" si="4"/>
        <v>http://www.dailygammon.com/bg/invite/new?submit=invite&amp;variant=1&amp;length=11&amp;time_control=12&amp;name=34th-season-1a&amp;player=14866</v>
      </c>
      <c r="AA8" s="3" t="s">
        <v>617</v>
      </c>
      <c r="AB8" s="3" t="str">
        <f t="shared" si="5"/>
        <v>invite Rasp</v>
      </c>
    </row>
    <row r="9" spans="1:28" x14ac:dyDescent="0.35">
      <c r="A9" s="2" t="s">
        <v>896</v>
      </c>
      <c r="B9" s="51" t="str">
        <f>VLOOKUP(J9,Tabelle1!A:B,2,FALSE)</f>
        <v>1a</v>
      </c>
      <c r="C9" s="2">
        <v>34</v>
      </c>
      <c r="D9" s="51" t="s">
        <v>283</v>
      </c>
      <c r="E9" s="11" t="str">
        <f t="shared" si="0"/>
        <v>1a</v>
      </c>
      <c r="H9" s="2" t="s">
        <v>54</v>
      </c>
      <c r="J9" s="37" t="s">
        <v>897</v>
      </c>
      <c r="K9" s="3">
        <v>18758</v>
      </c>
      <c r="L9" s="2" t="s">
        <v>899</v>
      </c>
      <c r="N9" s="1" t="s">
        <v>898</v>
      </c>
      <c r="T9" s="2">
        <v>1</v>
      </c>
      <c r="U9" s="2">
        <v>11</v>
      </c>
      <c r="V9" s="2">
        <v>12</v>
      </c>
      <c r="W9" s="1" t="str">
        <f t="shared" si="1"/>
        <v>http://www.dailygammon.com/bg/invite/new?submit=invite&amp;variant=1&amp;length=11&amp;time_control=12&amp;name=</v>
      </c>
      <c r="X9" s="2" t="str">
        <f t="shared" si="2"/>
        <v>34th-season-1a</v>
      </c>
      <c r="Y9" s="12" t="str">
        <f t="shared" si="3"/>
        <v>invite Susanni</v>
      </c>
      <c r="Z9" s="3" t="str">
        <f t="shared" si="4"/>
        <v>http://www.dailygammon.com/bg/invite/new?submit=invite&amp;variant=1&amp;length=11&amp;time_control=12&amp;name=34th-season-1a&amp;player=18758</v>
      </c>
      <c r="AA9" s="3" t="s">
        <v>617</v>
      </c>
      <c r="AB9" s="3" t="str">
        <f t="shared" si="5"/>
        <v>invite Susanni</v>
      </c>
    </row>
    <row r="10" spans="1:28" ht="29" x14ac:dyDescent="0.35">
      <c r="B10" s="51" t="str">
        <f>VLOOKUP(J10,Tabelle1!A:B,2,FALSE)</f>
        <v>1a</v>
      </c>
      <c r="C10" s="2">
        <v>34</v>
      </c>
      <c r="D10" s="51" t="s">
        <v>283</v>
      </c>
      <c r="E10" s="11" t="str">
        <f t="shared" si="0"/>
        <v>1a</v>
      </c>
      <c r="H10" s="2" t="s">
        <v>54</v>
      </c>
      <c r="J10" s="37" t="s">
        <v>862</v>
      </c>
      <c r="K10" s="3">
        <v>4872</v>
      </c>
      <c r="N10" s="3" t="s">
        <v>861</v>
      </c>
      <c r="Q10" s="2" t="s">
        <v>859</v>
      </c>
      <c r="S10" s="4" t="s">
        <v>860</v>
      </c>
      <c r="T10" s="2">
        <v>1</v>
      </c>
      <c r="U10" s="2">
        <v>11</v>
      </c>
      <c r="V10" s="2">
        <v>12</v>
      </c>
      <c r="W10" s="1" t="str">
        <f t="shared" si="1"/>
        <v>http://www.dailygammon.com/bg/invite/new?submit=invite&amp;variant=1&amp;length=11&amp;time_control=12&amp;name=</v>
      </c>
      <c r="X10" s="2" t="str">
        <f t="shared" si="2"/>
        <v>34th-season-1a</v>
      </c>
      <c r="Y10" s="12" t="str">
        <f t="shared" si="3"/>
        <v>invite Willie Wonka</v>
      </c>
      <c r="Z10" s="3" t="str">
        <f t="shared" si="4"/>
        <v>http://www.dailygammon.com/bg/invite/new?submit=invite&amp;variant=1&amp;length=11&amp;time_control=12&amp;name=34th-season-1a&amp;player=4872</v>
      </c>
      <c r="AA10" s="3" t="s">
        <v>617</v>
      </c>
      <c r="AB10" s="3" t="str">
        <f t="shared" si="5"/>
        <v>invite Willie Wonka</v>
      </c>
    </row>
    <row r="11" spans="1:28" x14ac:dyDescent="0.35">
      <c r="B11" s="51" t="str">
        <f>VLOOKUP(J11,Tabelle1!A:B,2,FALSE)</f>
        <v>1a</v>
      </c>
      <c r="C11" s="2">
        <v>34</v>
      </c>
      <c r="D11" s="51" t="s">
        <v>283</v>
      </c>
      <c r="E11" s="11" t="str">
        <f t="shared" si="0"/>
        <v>1a</v>
      </c>
      <c r="H11" s="2" t="s">
        <v>54</v>
      </c>
      <c r="J11" s="3" t="s">
        <v>720</v>
      </c>
      <c r="K11" s="3">
        <v>38369</v>
      </c>
      <c r="N11" s="3" t="s">
        <v>721</v>
      </c>
      <c r="Q11" s="2" t="s">
        <v>722</v>
      </c>
      <c r="S11" s="2" t="s">
        <v>729</v>
      </c>
      <c r="T11" s="2">
        <v>1</v>
      </c>
      <c r="U11" s="2">
        <v>11</v>
      </c>
      <c r="V11" s="2">
        <v>12</v>
      </c>
      <c r="W11" s="1" t="str">
        <f t="shared" si="1"/>
        <v>http://www.dailygammon.com/bg/invite/new?submit=invite&amp;variant=1&amp;length=11&amp;time_control=12&amp;name=</v>
      </c>
      <c r="X11" s="2" t="str">
        <f t="shared" si="2"/>
        <v>34th-season-1a</v>
      </c>
      <c r="Y11" s="12" t="str">
        <f t="shared" si="3"/>
        <v>invite Zenswang</v>
      </c>
      <c r="Z11" s="3" t="str">
        <f t="shared" si="4"/>
        <v>http://www.dailygammon.com/bg/invite/new?submit=invite&amp;variant=1&amp;length=11&amp;time_control=12&amp;name=34th-season-1a&amp;player=38369</v>
      </c>
      <c r="AA11" s="3" t="s">
        <v>617</v>
      </c>
      <c r="AB11" s="3" t="str">
        <f t="shared" si="5"/>
        <v>invite Zenswang</v>
      </c>
    </row>
    <row r="12" spans="1:28" x14ac:dyDescent="0.35">
      <c r="B12" s="51" t="str">
        <f>VLOOKUP(J12,Tabelle1!A:B,2,FALSE)</f>
        <v>2a</v>
      </c>
      <c r="C12" s="2">
        <v>34</v>
      </c>
      <c r="D12" s="51" t="s">
        <v>284</v>
      </c>
      <c r="E12" s="11" t="str">
        <f t="shared" si="0"/>
        <v>2a</v>
      </c>
      <c r="J12" s="3" t="s">
        <v>119</v>
      </c>
      <c r="K12" s="3">
        <v>12968</v>
      </c>
      <c r="L12" s="2" t="s">
        <v>118</v>
      </c>
      <c r="M12" s="2" t="s">
        <v>193</v>
      </c>
      <c r="N12" s="3" t="s">
        <v>120</v>
      </c>
      <c r="O12" s="3"/>
      <c r="P12" s="3"/>
      <c r="Q12" s="2" t="s">
        <v>121</v>
      </c>
      <c r="T12" s="2">
        <v>1</v>
      </c>
      <c r="U12" s="2">
        <v>11</v>
      </c>
      <c r="V12" s="2">
        <v>12</v>
      </c>
      <c r="W12" s="1" t="str">
        <f t="shared" si="1"/>
        <v>http://www.dailygammon.com/bg/invite/new?submit=invite&amp;variant=1&amp;length=11&amp;time_control=12&amp;name=</v>
      </c>
      <c r="X12" s="2" t="str">
        <f t="shared" si="2"/>
        <v>34th-season-2a</v>
      </c>
      <c r="Y12" s="12" t="str">
        <f t="shared" si="3"/>
        <v>invite Animalj</v>
      </c>
      <c r="Z12" s="3" t="str">
        <f t="shared" si="4"/>
        <v>http://www.dailygammon.com/bg/invite/new?submit=invite&amp;variant=1&amp;length=11&amp;time_control=12&amp;name=34th-season-2a&amp;player=12968</v>
      </c>
      <c r="AA12" s="3" t="s">
        <v>617</v>
      </c>
      <c r="AB12" s="3" t="str">
        <f t="shared" si="5"/>
        <v>invite Animalj</v>
      </c>
    </row>
    <row r="13" spans="1:28" x14ac:dyDescent="0.35">
      <c r="B13" s="51" t="str">
        <f>VLOOKUP(J13,Tabelle1!A:B,2,FALSE)</f>
        <v>2a</v>
      </c>
      <c r="C13" s="2">
        <v>34</v>
      </c>
      <c r="D13" s="51" t="s">
        <v>284</v>
      </c>
      <c r="E13" s="11" t="str">
        <f t="shared" si="0"/>
        <v>2a</v>
      </c>
      <c r="H13" s="2" t="s">
        <v>54</v>
      </c>
      <c r="J13" s="3" t="s">
        <v>450</v>
      </c>
      <c r="K13" s="3">
        <v>33827</v>
      </c>
      <c r="L13" s="2" t="s">
        <v>719</v>
      </c>
      <c r="N13" s="3" t="s">
        <v>451</v>
      </c>
      <c r="Q13"/>
      <c r="R13"/>
      <c r="T13" s="2">
        <v>1</v>
      </c>
      <c r="U13" s="2">
        <v>11</v>
      </c>
      <c r="V13" s="2">
        <v>12</v>
      </c>
      <c r="W13" s="1" t="str">
        <f t="shared" si="1"/>
        <v>http://www.dailygammon.com/bg/invite/new?submit=invite&amp;variant=1&amp;length=11&amp;time_control=12&amp;name=</v>
      </c>
      <c r="X13" s="2" t="str">
        <f t="shared" si="2"/>
        <v>34th-season-2a</v>
      </c>
      <c r="Y13" s="12" t="str">
        <f t="shared" si="3"/>
        <v>invite Ark737</v>
      </c>
      <c r="Z13" s="3" t="str">
        <f t="shared" si="4"/>
        <v>http://www.dailygammon.com/bg/invite/new?submit=invite&amp;variant=1&amp;length=11&amp;time_control=12&amp;name=34th-season-2a&amp;player=33827</v>
      </c>
      <c r="AA13" s="3" t="s">
        <v>617</v>
      </c>
      <c r="AB13" s="3" t="str">
        <f t="shared" si="5"/>
        <v>invite Ark737</v>
      </c>
    </row>
    <row r="14" spans="1:28" x14ac:dyDescent="0.35">
      <c r="B14" s="51" t="str">
        <f>VLOOKUP(J14,Tabelle1!A:B,2,FALSE)</f>
        <v>2a</v>
      </c>
      <c r="C14" s="2">
        <v>34</v>
      </c>
      <c r="D14" s="51" t="s">
        <v>284</v>
      </c>
      <c r="E14" s="11" t="str">
        <f t="shared" si="0"/>
        <v>2a</v>
      </c>
      <c r="J14" s="3" t="s">
        <v>781</v>
      </c>
      <c r="K14" s="3">
        <v>39451</v>
      </c>
      <c r="L14" s="2" t="s">
        <v>49</v>
      </c>
      <c r="M14" s="2" t="s">
        <v>782</v>
      </c>
      <c r="N14" s="3" t="s">
        <v>783</v>
      </c>
      <c r="Q14" s="2" t="s">
        <v>784</v>
      </c>
      <c r="R14" s="2" t="s">
        <v>784</v>
      </c>
      <c r="S14" s="2" t="s">
        <v>785</v>
      </c>
      <c r="T14" s="2">
        <v>1</v>
      </c>
      <c r="U14" s="2">
        <v>11</v>
      </c>
      <c r="V14" s="2">
        <v>12</v>
      </c>
      <c r="W14" s="1" t="str">
        <f t="shared" si="1"/>
        <v>http://www.dailygammon.com/bg/invite/new?submit=invite&amp;variant=1&amp;length=11&amp;time_control=12&amp;name=</v>
      </c>
      <c r="X14" s="2" t="str">
        <f t="shared" si="2"/>
        <v>34th-season-2a</v>
      </c>
      <c r="Y14" s="12" t="str">
        <f t="shared" si="3"/>
        <v>invite Blueser</v>
      </c>
      <c r="Z14" s="3" t="str">
        <f t="shared" si="4"/>
        <v>http://www.dailygammon.com/bg/invite/new?submit=invite&amp;variant=1&amp;length=11&amp;time_control=12&amp;name=34th-season-2a&amp;player=39451</v>
      </c>
      <c r="AA14" s="3" t="s">
        <v>617</v>
      </c>
      <c r="AB14" s="3" t="str">
        <f t="shared" si="5"/>
        <v>invite Blueser</v>
      </c>
    </row>
    <row r="15" spans="1:28" x14ac:dyDescent="0.35">
      <c r="B15" s="51" t="str">
        <f>VLOOKUP(J15,Tabelle1!A:B,2,FALSE)</f>
        <v>2a</v>
      </c>
      <c r="C15" s="2">
        <v>34</v>
      </c>
      <c r="D15" s="51" t="s">
        <v>284</v>
      </c>
      <c r="E15" s="11" t="str">
        <f t="shared" si="0"/>
        <v>2a</v>
      </c>
      <c r="H15" s="2" t="s">
        <v>54</v>
      </c>
      <c r="J15" s="3" t="s">
        <v>924</v>
      </c>
      <c r="K15" s="3">
        <v>35052</v>
      </c>
      <c r="L15" t="s">
        <v>448</v>
      </c>
      <c r="N15" s="3" t="s">
        <v>464</v>
      </c>
      <c r="Q15" t="s">
        <v>449</v>
      </c>
      <c r="R15"/>
      <c r="S15" s="2" t="s">
        <v>460</v>
      </c>
      <c r="T15" s="2">
        <v>1</v>
      </c>
      <c r="U15" s="2">
        <v>11</v>
      </c>
      <c r="V15" s="2">
        <v>12</v>
      </c>
      <c r="W15" s="1" t="str">
        <f t="shared" si="1"/>
        <v>http://www.dailygammon.com/bg/invite/new?submit=invite&amp;variant=1&amp;length=11&amp;time_control=12&amp;name=</v>
      </c>
      <c r="X15" s="2" t="str">
        <f t="shared" si="2"/>
        <v>34th-season-2a</v>
      </c>
      <c r="Y15" s="12" t="str">
        <f t="shared" si="3"/>
        <v>invite Buckerooni</v>
      </c>
      <c r="Z15" s="3" t="str">
        <f t="shared" si="4"/>
        <v>http://www.dailygammon.com/bg/invite/new?submit=invite&amp;variant=1&amp;length=11&amp;time_control=12&amp;name=34th-season-2a&amp;player=35052</v>
      </c>
      <c r="AA15" s="3" t="s">
        <v>617</v>
      </c>
      <c r="AB15" s="3" t="str">
        <f t="shared" si="5"/>
        <v>invite Buckerooni</v>
      </c>
    </row>
    <row r="16" spans="1:28" x14ac:dyDescent="0.35">
      <c r="B16" s="51" t="str">
        <f>VLOOKUP(J16,Tabelle1!A:B,2,FALSE)</f>
        <v>2a</v>
      </c>
      <c r="C16" s="2">
        <v>34</v>
      </c>
      <c r="D16" s="51" t="s">
        <v>284</v>
      </c>
      <c r="E16" s="11" t="str">
        <f t="shared" si="0"/>
        <v>2a</v>
      </c>
      <c r="J16" s="3" t="s">
        <v>313</v>
      </c>
      <c r="K16" s="3">
        <v>34026</v>
      </c>
      <c r="L16" s="2" t="s">
        <v>329</v>
      </c>
      <c r="M16" s="2" t="s">
        <v>330</v>
      </c>
      <c r="N16" s="3" t="s">
        <v>328</v>
      </c>
      <c r="O16" s="3"/>
      <c r="P16" s="3"/>
      <c r="Q16" s="2" t="s">
        <v>597</v>
      </c>
      <c r="T16" s="2">
        <v>1</v>
      </c>
      <c r="U16" s="2">
        <v>11</v>
      </c>
      <c r="V16" s="2">
        <v>12</v>
      </c>
      <c r="W16" s="1" t="str">
        <f t="shared" si="1"/>
        <v>http://www.dailygammon.com/bg/invite/new?submit=invite&amp;variant=1&amp;length=11&amp;time_control=12&amp;name=</v>
      </c>
      <c r="X16" s="2" t="str">
        <f t="shared" si="2"/>
        <v>34th-season-2a</v>
      </c>
      <c r="Y16" s="12" t="str">
        <f t="shared" si="3"/>
        <v>invite Cafeplayer</v>
      </c>
      <c r="Z16" s="3" t="str">
        <f t="shared" si="4"/>
        <v>http://www.dailygammon.com/bg/invite/new?submit=invite&amp;variant=1&amp;length=11&amp;time_control=12&amp;name=34th-season-2a&amp;player=34026</v>
      </c>
      <c r="AA16" s="3" t="s">
        <v>617</v>
      </c>
      <c r="AB16" s="3" t="str">
        <f t="shared" si="5"/>
        <v>invite Cafeplayer</v>
      </c>
    </row>
    <row r="17" spans="2:28" x14ac:dyDescent="0.35">
      <c r="B17" s="51" t="str">
        <f>VLOOKUP(J17,Tabelle1!A:B,2,FALSE)</f>
        <v>2a</v>
      </c>
      <c r="C17" s="2">
        <v>34</v>
      </c>
      <c r="D17" s="51" t="s">
        <v>284</v>
      </c>
      <c r="E17" s="11" t="str">
        <f t="shared" si="0"/>
        <v>2a</v>
      </c>
      <c r="H17" s="2" t="s">
        <v>54</v>
      </c>
      <c r="J17" s="6" t="s">
        <v>503</v>
      </c>
      <c r="K17" s="3">
        <v>32423</v>
      </c>
      <c r="L17" s="2" t="s">
        <v>504</v>
      </c>
      <c r="N17" s="3" t="s">
        <v>506</v>
      </c>
      <c r="Q17" t="s">
        <v>505</v>
      </c>
      <c r="R17"/>
      <c r="S17" s="3"/>
      <c r="T17" s="2">
        <v>1</v>
      </c>
      <c r="U17" s="2">
        <v>11</v>
      </c>
      <c r="V17" s="2">
        <v>12</v>
      </c>
      <c r="W17" s="1" t="str">
        <f t="shared" si="1"/>
        <v>http://www.dailygammon.com/bg/invite/new?submit=invite&amp;variant=1&amp;length=11&amp;time_control=12&amp;name=</v>
      </c>
      <c r="X17" s="2" t="str">
        <f t="shared" si="2"/>
        <v>34th-season-2a</v>
      </c>
      <c r="Y17" s="12" t="str">
        <f t="shared" si="3"/>
        <v>invite FUZZYCHECKER</v>
      </c>
      <c r="Z17" s="3" t="str">
        <f t="shared" si="4"/>
        <v>http://www.dailygammon.com/bg/invite/new?submit=invite&amp;variant=1&amp;length=11&amp;time_control=12&amp;name=34th-season-2a&amp;player=32423</v>
      </c>
      <c r="AA17" s="3" t="s">
        <v>617</v>
      </c>
      <c r="AB17" s="3" t="str">
        <f t="shared" si="5"/>
        <v>invite FUZZYCHECKER</v>
      </c>
    </row>
    <row r="18" spans="2:28" x14ac:dyDescent="0.35">
      <c r="B18" s="51" t="str">
        <f>VLOOKUP(J18,Tabelle1!A:B,2,FALSE)</f>
        <v>2a</v>
      </c>
      <c r="C18" s="2">
        <v>34</v>
      </c>
      <c r="D18" s="51" t="s">
        <v>284</v>
      </c>
      <c r="E18" s="11" t="str">
        <f t="shared" si="0"/>
        <v>2a</v>
      </c>
      <c r="H18" s="2" t="s">
        <v>54</v>
      </c>
      <c r="J18" s="3" t="s">
        <v>90</v>
      </c>
      <c r="K18" s="3">
        <v>25013</v>
      </c>
      <c r="L18" s="2" t="s">
        <v>89</v>
      </c>
      <c r="N18" s="3" t="s">
        <v>91</v>
      </c>
      <c r="Q18" s="2" t="s">
        <v>92</v>
      </c>
      <c r="T18" s="2">
        <v>1</v>
      </c>
      <c r="U18" s="2">
        <v>11</v>
      </c>
      <c r="V18" s="2">
        <v>12</v>
      </c>
      <c r="W18" s="1" t="str">
        <f t="shared" si="1"/>
        <v>http://www.dailygammon.com/bg/invite/new?submit=invite&amp;variant=1&amp;length=11&amp;time_control=12&amp;name=</v>
      </c>
      <c r="X18" s="2" t="str">
        <f t="shared" si="2"/>
        <v>34th-season-2a</v>
      </c>
      <c r="Y18" s="12" t="str">
        <f t="shared" si="3"/>
        <v>invite Nureyev</v>
      </c>
      <c r="Z18" s="3" t="str">
        <f t="shared" si="4"/>
        <v>http://www.dailygammon.com/bg/invite/new?submit=invite&amp;variant=1&amp;length=11&amp;time_control=12&amp;name=34th-season-2a&amp;player=25013</v>
      </c>
      <c r="AA18" s="3" t="s">
        <v>617</v>
      </c>
      <c r="AB18" s="3" t="str">
        <f t="shared" si="5"/>
        <v>invite Nureyev</v>
      </c>
    </row>
    <row r="19" spans="2:28" x14ac:dyDescent="0.35">
      <c r="B19" s="51" t="str">
        <f>VLOOKUP(J19,Tabelle1!A:B,2,FALSE)</f>
        <v>2a</v>
      </c>
      <c r="C19" s="2">
        <v>34</v>
      </c>
      <c r="D19" s="51" t="s">
        <v>284</v>
      </c>
      <c r="E19" s="11" t="str">
        <f t="shared" si="0"/>
        <v>2a</v>
      </c>
      <c r="H19" s="2" t="s">
        <v>54</v>
      </c>
      <c r="J19" s="3" t="s">
        <v>154</v>
      </c>
      <c r="K19" s="3">
        <v>22451</v>
      </c>
      <c r="L19" s="2" t="s">
        <v>89</v>
      </c>
      <c r="N19" s="3" t="s">
        <v>153</v>
      </c>
      <c r="O19" s="3"/>
      <c r="P19" s="3"/>
      <c r="T19" s="2">
        <v>1</v>
      </c>
      <c r="U19" s="2">
        <v>11</v>
      </c>
      <c r="V19" s="2">
        <v>12</v>
      </c>
      <c r="W19" s="1" t="str">
        <f t="shared" si="1"/>
        <v>http://www.dailygammon.com/bg/invite/new?submit=invite&amp;variant=1&amp;length=11&amp;time_control=12&amp;name=</v>
      </c>
      <c r="X19" s="2" t="str">
        <f t="shared" si="2"/>
        <v>34th-season-2a</v>
      </c>
      <c r="Y19" s="12" t="str">
        <f t="shared" si="3"/>
        <v>invite Say La Vee</v>
      </c>
      <c r="Z19" s="3" t="str">
        <f t="shared" si="4"/>
        <v>http://www.dailygammon.com/bg/invite/new?submit=invite&amp;variant=1&amp;length=11&amp;time_control=12&amp;name=34th-season-2a&amp;player=22451</v>
      </c>
      <c r="AA19" s="3" t="s">
        <v>617</v>
      </c>
      <c r="AB19" s="3" t="str">
        <f t="shared" si="5"/>
        <v>invite Say La Vee</v>
      </c>
    </row>
    <row r="20" spans="2:28" x14ac:dyDescent="0.35">
      <c r="B20" s="51" t="str">
        <f>VLOOKUP(J20,Tabelle1!A:B,2,FALSE)</f>
        <v>2a</v>
      </c>
      <c r="C20" s="2">
        <v>34</v>
      </c>
      <c r="D20" s="51" t="s">
        <v>284</v>
      </c>
      <c r="E20" s="11" t="str">
        <f t="shared" si="0"/>
        <v>2a</v>
      </c>
      <c r="H20" s="2" t="s">
        <v>54</v>
      </c>
      <c r="J20" s="3" t="s">
        <v>499</v>
      </c>
      <c r="K20" s="3">
        <v>22511</v>
      </c>
      <c r="L20" s="2" t="s">
        <v>124</v>
      </c>
      <c r="N20" s="3" t="s">
        <v>501</v>
      </c>
      <c r="O20" s="3"/>
      <c r="P20" s="3"/>
      <c r="Q20" s="2" t="s">
        <v>500</v>
      </c>
      <c r="T20" s="2">
        <v>1</v>
      </c>
      <c r="U20" s="2">
        <v>11</v>
      </c>
      <c r="V20" s="2">
        <v>12</v>
      </c>
      <c r="W20" s="1" t="str">
        <f t="shared" si="1"/>
        <v>http://www.dailygammon.com/bg/invite/new?submit=invite&amp;variant=1&amp;length=11&amp;time_control=12&amp;name=</v>
      </c>
      <c r="X20" s="2" t="str">
        <f t="shared" si="2"/>
        <v>34th-season-2a</v>
      </c>
      <c r="Y20" s="12" t="str">
        <f t="shared" si="3"/>
        <v>invite sb101</v>
      </c>
      <c r="Z20" s="3" t="str">
        <f t="shared" si="4"/>
        <v>http://www.dailygammon.com/bg/invite/new?submit=invite&amp;variant=1&amp;length=11&amp;time_control=12&amp;name=34th-season-2a&amp;player=22511</v>
      </c>
      <c r="AA20" s="3" t="s">
        <v>617</v>
      </c>
      <c r="AB20" s="3" t="str">
        <f t="shared" si="5"/>
        <v>invite sb101</v>
      </c>
    </row>
    <row r="21" spans="2:28" x14ac:dyDescent="0.35">
      <c r="B21" s="51" t="str">
        <f>VLOOKUP(J21,Tabelle1!A:B,2,FALSE)</f>
        <v>2a</v>
      </c>
      <c r="C21" s="2">
        <v>34</v>
      </c>
      <c r="D21" s="51" t="s">
        <v>284</v>
      </c>
      <c r="E21" s="11" t="str">
        <f t="shared" si="0"/>
        <v>2a</v>
      </c>
      <c r="H21" s="2" t="s">
        <v>54</v>
      </c>
      <c r="J21" s="6" t="s">
        <v>481</v>
      </c>
      <c r="K21" s="3">
        <v>28712</v>
      </c>
      <c r="L21" s="2" t="s">
        <v>483</v>
      </c>
      <c r="M21" s="2" t="s">
        <v>502</v>
      </c>
      <c r="N21" s="3" t="s">
        <v>484</v>
      </c>
      <c r="Q21" s="2" t="s">
        <v>482</v>
      </c>
      <c r="S21" s="3"/>
      <c r="T21" s="2">
        <v>1</v>
      </c>
      <c r="U21" s="2">
        <v>11</v>
      </c>
      <c r="V21" s="2">
        <v>12</v>
      </c>
      <c r="W21" s="1" t="str">
        <f t="shared" si="1"/>
        <v>http://www.dailygammon.com/bg/invite/new?submit=invite&amp;variant=1&amp;length=11&amp;time_control=12&amp;name=</v>
      </c>
      <c r="X21" s="2" t="str">
        <f t="shared" si="2"/>
        <v>34th-season-2a</v>
      </c>
      <c r="Y21" s="12" t="str">
        <f t="shared" si="3"/>
        <v>invite vincbt</v>
      </c>
      <c r="Z21" s="3" t="str">
        <f t="shared" si="4"/>
        <v>http://www.dailygammon.com/bg/invite/new?submit=invite&amp;variant=1&amp;length=11&amp;time_control=12&amp;name=34th-season-2a&amp;player=28712</v>
      </c>
      <c r="AA21" s="3" t="s">
        <v>617</v>
      </c>
      <c r="AB21" s="3" t="str">
        <f t="shared" si="5"/>
        <v>invite vincbt</v>
      </c>
    </row>
    <row r="22" spans="2:28" x14ac:dyDescent="0.35">
      <c r="B22" s="51" t="str">
        <f>VLOOKUP(J22,Tabelle1!A:B,2,FALSE)</f>
        <v>2b</v>
      </c>
      <c r="C22" s="2">
        <v>34</v>
      </c>
      <c r="D22" s="51" t="s">
        <v>732</v>
      </c>
      <c r="E22" s="11" t="str">
        <f t="shared" si="0"/>
        <v>2b</v>
      </c>
      <c r="H22" s="2" t="s">
        <v>54</v>
      </c>
      <c r="I22" s="2" t="s">
        <v>54</v>
      </c>
      <c r="J22" s="3" t="s">
        <v>513</v>
      </c>
      <c r="K22" s="3">
        <v>27176</v>
      </c>
      <c r="L22" s="2" t="s">
        <v>689</v>
      </c>
      <c r="N22" s="3" t="s">
        <v>251</v>
      </c>
      <c r="Q22" s="2" t="s">
        <v>252</v>
      </c>
      <c r="T22" s="2">
        <v>1</v>
      </c>
      <c r="U22" s="2">
        <v>11</v>
      </c>
      <c r="V22" s="2">
        <v>12</v>
      </c>
      <c r="W22" s="1" t="str">
        <f t="shared" si="1"/>
        <v>http://www.dailygammon.com/bg/invite/new?submit=invite&amp;variant=1&amp;length=11&amp;time_control=12&amp;name=</v>
      </c>
      <c r="X22" s="2" t="str">
        <f t="shared" si="2"/>
        <v>34th-season-2b</v>
      </c>
      <c r="Y22" s="12" t="str">
        <f t="shared" si="3"/>
        <v>invite 69Sandman</v>
      </c>
      <c r="Z22" s="3" t="str">
        <f t="shared" si="4"/>
        <v>http://www.dailygammon.com/bg/invite/new?submit=invite&amp;variant=1&amp;length=11&amp;time_control=12&amp;name=34th-season-2b&amp;player=27176</v>
      </c>
      <c r="AA22" s="3" t="s">
        <v>617</v>
      </c>
      <c r="AB22" s="3" t="str">
        <f t="shared" si="5"/>
        <v>invite 69Sandman</v>
      </c>
    </row>
    <row r="23" spans="2:28" x14ac:dyDescent="0.35">
      <c r="B23" s="51" t="str">
        <f>VLOOKUP(J23,Tabelle1!A:B,2,FALSE)</f>
        <v>2b</v>
      </c>
      <c r="C23" s="2">
        <v>34</v>
      </c>
      <c r="D23" s="51" t="s">
        <v>732</v>
      </c>
      <c r="E23" s="11" t="str">
        <f t="shared" si="0"/>
        <v>2b</v>
      </c>
      <c r="H23" s="2" t="s">
        <v>54</v>
      </c>
      <c r="I23" s="2" t="s">
        <v>54</v>
      </c>
      <c r="J23" s="3" t="s">
        <v>1</v>
      </c>
      <c r="K23" s="3">
        <v>32477</v>
      </c>
      <c r="L23" s="2" t="s">
        <v>49</v>
      </c>
      <c r="M23" s="2" t="s">
        <v>634</v>
      </c>
      <c r="N23" s="3" t="s">
        <v>50</v>
      </c>
      <c r="Q23" s="2" t="s">
        <v>51</v>
      </c>
      <c r="T23" s="2">
        <v>1</v>
      </c>
      <c r="U23" s="2">
        <v>11</v>
      </c>
      <c r="V23" s="2">
        <v>12</v>
      </c>
      <c r="W23" s="1" t="str">
        <f t="shared" si="1"/>
        <v>http://www.dailygammon.com/bg/invite/new?submit=invite&amp;variant=1&amp;length=11&amp;time_control=12&amp;name=</v>
      </c>
      <c r="X23" s="2" t="str">
        <f t="shared" si="2"/>
        <v>34th-season-2b</v>
      </c>
      <c r="Y23" s="12" t="str">
        <f t="shared" si="3"/>
        <v>invite Captnblaubaer</v>
      </c>
      <c r="Z23" s="3" t="str">
        <f t="shared" si="4"/>
        <v>http://www.dailygammon.com/bg/invite/new?submit=invite&amp;variant=1&amp;length=11&amp;time_control=12&amp;name=34th-season-2b&amp;player=32477</v>
      </c>
      <c r="AA23" s="3" t="s">
        <v>617</v>
      </c>
      <c r="AB23" s="3" t="str">
        <f t="shared" si="5"/>
        <v>invite Captnblaubaer</v>
      </c>
    </row>
    <row r="24" spans="2:28" x14ac:dyDescent="0.35">
      <c r="B24" s="51" t="str">
        <f>VLOOKUP(J24,Tabelle1!A:B,2,FALSE)</f>
        <v>2b</v>
      </c>
      <c r="C24" s="2">
        <v>34</v>
      </c>
      <c r="D24" s="51" t="s">
        <v>732</v>
      </c>
      <c r="E24" s="11" t="str">
        <f t="shared" si="0"/>
        <v>2b</v>
      </c>
      <c r="H24" s="2" t="s">
        <v>54</v>
      </c>
      <c r="J24" s="3" t="s">
        <v>278</v>
      </c>
      <c r="K24" s="3">
        <v>31793</v>
      </c>
      <c r="L24" s="2" t="s">
        <v>279</v>
      </c>
      <c r="N24" s="3" t="s">
        <v>374</v>
      </c>
      <c r="Q24" s="2" t="s">
        <v>280</v>
      </c>
      <c r="T24" s="2">
        <v>1</v>
      </c>
      <c r="U24" s="2">
        <v>11</v>
      </c>
      <c r="V24" s="2">
        <v>12</v>
      </c>
      <c r="W24" s="1" t="str">
        <f t="shared" si="1"/>
        <v>http://www.dailygammon.com/bg/invite/new?submit=invite&amp;variant=1&amp;length=11&amp;time_control=12&amp;name=</v>
      </c>
      <c r="X24" s="2" t="str">
        <f t="shared" si="2"/>
        <v>34th-season-2b</v>
      </c>
      <c r="Y24" s="12" t="str">
        <f t="shared" si="3"/>
        <v>invite DrummieMilo</v>
      </c>
      <c r="Z24" s="3" t="str">
        <f t="shared" si="4"/>
        <v>http://www.dailygammon.com/bg/invite/new?submit=invite&amp;variant=1&amp;length=11&amp;time_control=12&amp;name=34th-season-2b&amp;player=31793</v>
      </c>
      <c r="AA24" s="3" t="s">
        <v>617</v>
      </c>
      <c r="AB24" s="3" t="str">
        <f t="shared" si="5"/>
        <v>invite DrummieMilo</v>
      </c>
    </row>
    <row r="25" spans="2:28" x14ac:dyDescent="0.35">
      <c r="B25" s="51" t="str">
        <f>VLOOKUP(J25,Tabelle1!A:B,2,FALSE)</f>
        <v>2b</v>
      </c>
      <c r="C25" s="2">
        <v>34</v>
      </c>
      <c r="D25" s="51" t="s">
        <v>732</v>
      </c>
      <c r="E25" s="11" t="str">
        <f t="shared" si="0"/>
        <v>2b</v>
      </c>
      <c r="H25" s="2" t="s">
        <v>54</v>
      </c>
      <c r="I25" s="2" t="s">
        <v>54</v>
      </c>
      <c r="J25" s="3" t="s">
        <v>156</v>
      </c>
      <c r="K25" s="3">
        <v>31952</v>
      </c>
      <c r="L25" s="2" t="s">
        <v>158</v>
      </c>
      <c r="M25" s="31" t="s">
        <v>157</v>
      </c>
      <c r="N25" s="3" t="s">
        <v>304</v>
      </c>
      <c r="Q25" s="2" t="s">
        <v>159</v>
      </c>
      <c r="T25" s="2">
        <v>1</v>
      </c>
      <c r="U25" s="2">
        <v>11</v>
      </c>
      <c r="V25" s="2">
        <v>12</v>
      </c>
      <c r="W25" s="1" t="str">
        <f t="shared" si="1"/>
        <v>http://www.dailygammon.com/bg/invite/new?submit=invite&amp;variant=1&amp;length=11&amp;time_control=12&amp;name=</v>
      </c>
      <c r="X25" s="2" t="str">
        <f t="shared" si="2"/>
        <v>34th-season-2b</v>
      </c>
      <c r="Y25" s="12" t="str">
        <f t="shared" si="3"/>
        <v>invite dzsobacsi</v>
      </c>
      <c r="Z25" s="3" t="str">
        <f t="shared" si="4"/>
        <v>http://www.dailygammon.com/bg/invite/new?submit=invite&amp;variant=1&amp;length=11&amp;time_control=12&amp;name=34th-season-2b&amp;player=31952</v>
      </c>
      <c r="AA25" s="3" t="s">
        <v>617</v>
      </c>
      <c r="AB25" s="3" t="str">
        <f t="shared" si="5"/>
        <v>invite dzsobacsi</v>
      </c>
    </row>
    <row r="26" spans="2:28" x14ac:dyDescent="0.35">
      <c r="B26" s="51" t="str">
        <f>VLOOKUP(J26,Tabelle1!A:B,2,FALSE)</f>
        <v>2b</v>
      </c>
      <c r="C26" s="2">
        <v>34</v>
      </c>
      <c r="D26" s="51" t="s">
        <v>732</v>
      </c>
      <c r="E26" s="11" t="str">
        <f t="shared" si="0"/>
        <v>2b</v>
      </c>
      <c r="H26" s="2" t="s">
        <v>54</v>
      </c>
      <c r="J26" s="3" t="s">
        <v>211</v>
      </c>
      <c r="K26" s="3">
        <v>32442</v>
      </c>
      <c r="L26" s="2" t="s">
        <v>212</v>
      </c>
      <c r="M26" s="2" t="s">
        <v>291</v>
      </c>
      <c r="N26" s="3" t="s">
        <v>213</v>
      </c>
      <c r="O26" s="3"/>
      <c r="P26" s="3"/>
      <c r="Q26" s="2" t="s">
        <v>204</v>
      </c>
      <c r="T26" s="2">
        <v>1</v>
      </c>
      <c r="U26" s="2">
        <v>11</v>
      </c>
      <c r="V26" s="2">
        <v>12</v>
      </c>
      <c r="W26" s="1" t="str">
        <f t="shared" si="1"/>
        <v>http://www.dailygammon.com/bg/invite/new?submit=invite&amp;variant=1&amp;length=11&amp;time_control=12&amp;name=</v>
      </c>
      <c r="X26" s="2" t="str">
        <f t="shared" si="2"/>
        <v>34th-season-2b</v>
      </c>
      <c r="Y26" s="12" t="str">
        <f t="shared" si="3"/>
        <v>invite Freesurfer</v>
      </c>
      <c r="Z26" s="3" t="str">
        <f t="shared" si="4"/>
        <v>http://www.dailygammon.com/bg/invite/new?submit=invite&amp;variant=1&amp;length=11&amp;time_control=12&amp;name=34th-season-2b&amp;player=32442</v>
      </c>
      <c r="AA26" s="3" t="s">
        <v>617</v>
      </c>
      <c r="AB26" s="3" t="str">
        <f t="shared" si="5"/>
        <v>invite Freesurfer</v>
      </c>
    </row>
    <row r="27" spans="2:28" x14ac:dyDescent="0.35">
      <c r="B27" s="51" t="str">
        <f>VLOOKUP(J27,Tabelle1!A:B,2,FALSE)</f>
        <v>2b</v>
      </c>
      <c r="C27" s="2">
        <v>34</v>
      </c>
      <c r="D27" s="51" t="s">
        <v>732</v>
      </c>
      <c r="E27" s="11" t="str">
        <f t="shared" si="0"/>
        <v>2b</v>
      </c>
      <c r="H27" s="2" t="s">
        <v>54</v>
      </c>
      <c r="J27" s="3" t="s">
        <v>465</v>
      </c>
      <c r="K27" s="3">
        <v>16338</v>
      </c>
      <c r="L27" s="2" t="s">
        <v>468</v>
      </c>
      <c r="M27" s="2" t="s">
        <v>469</v>
      </c>
      <c r="N27" s="3" t="s">
        <v>466</v>
      </c>
      <c r="Q27" t="s">
        <v>467</v>
      </c>
      <c r="R27" s="2" t="s">
        <v>685</v>
      </c>
      <c r="S27" s="3" t="s">
        <v>470</v>
      </c>
      <c r="T27" s="2">
        <v>1</v>
      </c>
      <c r="U27" s="2">
        <v>11</v>
      </c>
      <c r="V27" s="2">
        <v>12</v>
      </c>
      <c r="W27" s="1" t="str">
        <f t="shared" si="1"/>
        <v>http://www.dailygammon.com/bg/invite/new?submit=invite&amp;variant=1&amp;length=11&amp;time_control=12&amp;name=</v>
      </c>
      <c r="X27" s="2" t="str">
        <f t="shared" si="2"/>
        <v>34th-season-2b</v>
      </c>
      <c r="Y27" s="12" t="str">
        <f t="shared" si="3"/>
        <v>invite goofie</v>
      </c>
      <c r="Z27" s="3" t="str">
        <f t="shared" si="4"/>
        <v>http://www.dailygammon.com/bg/invite/new?submit=invite&amp;variant=1&amp;length=11&amp;time_control=12&amp;name=34th-season-2b&amp;player=16338</v>
      </c>
      <c r="AA27" s="3" t="s">
        <v>617</v>
      </c>
      <c r="AB27" s="3" t="str">
        <f t="shared" si="5"/>
        <v>invite goofie</v>
      </c>
    </row>
    <row r="28" spans="2:28" x14ac:dyDescent="0.35">
      <c r="B28" s="51" t="str">
        <f>VLOOKUP(J28,Tabelle1!A:B,2,FALSE)</f>
        <v>2b</v>
      </c>
      <c r="C28" s="2">
        <v>34</v>
      </c>
      <c r="D28" s="51" t="s">
        <v>732</v>
      </c>
      <c r="E28" s="11" t="str">
        <f t="shared" si="0"/>
        <v>2b</v>
      </c>
      <c r="H28" s="2" t="s">
        <v>54</v>
      </c>
      <c r="J28" s="3" t="s">
        <v>625</v>
      </c>
      <c r="K28" s="3">
        <v>37183</v>
      </c>
      <c r="L28" s="2" t="s">
        <v>15</v>
      </c>
      <c r="M28" s="2" t="s">
        <v>627</v>
      </c>
      <c r="N28" s="3" t="s">
        <v>626</v>
      </c>
      <c r="S28" s="2" t="s">
        <v>628</v>
      </c>
      <c r="T28" s="2">
        <v>1</v>
      </c>
      <c r="U28" s="2">
        <v>11</v>
      </c>
      <c r="V28" s="2">
        <v>12</v>
      </c>
      <c r="W28" s="1" t="str">
        <f t="shared" si="1"/>
        <v>http://www.dailygammon.com/bg/invite/new?submit=invite&amp;variant=1&amp;length=11&amp;time_control=12&amp;name=</v>
      </c>
      <c r="X28" s="2" t="str">
        <f t="shared" si="2"/>
        <v>34th-season-2b</v>
      </c>
      <c r="Y28" s="12" t="str">
        <f t="shared" si="3"/>
        <v>invite Greathumics</v>
      </c>
      <c r="Z28" s="3" t="str">
        <f t="shared" si="4"/>
        <v>http://www.dailygammon.com/bg/invite/new?submit=invite&amp;variant=1&amp;length=11&amp;time_control=12&amp;name=34th-season-2b&amp;player=37183</v>
      </c>
      <c r="AA28" s="3" t="s">
        <v>617</v>
      </c>
      <c r="AB28" s="3" t="str">
        <f t="shared" si="5"/>
        <v>invite Greathumics</v>
      </c>
    </row>
    <row r="29" spans="2:28" x14ac:dyDescent="0.35">
      <c r="B29" s="51" t="str">
        <f>VLOOKUP(J29,Tabelle1!A:B,2,FALSE)</f>
        <v>2b</v>
      </c>
      <c r="C29" s="2">
        <v>34</v>
      </c>
      <c r="D29" s="51" t="s">
        <v>732</v>
      </c>
      <c r="E29" s="11" t="str">
        <f t="shared" si="0"/>
        <v>2b</v>
      </c>
      <c r="H29" s="2" t="s">
        <v>54</v>
      </c>
      <c r="J29" s="3" t="s">
        <v>692</v>
      </c>
      <c r="K29" s="3">
        <v>8801</v>
      </c>
      <c r="L29" s="2" t="s">
        <v>691</v>
      </c>
      <c r="N29" s="3" t="s">
        <v>693</v>
      </c>
      <c r="Q29" s="2" t="s">
        <v>690</v>
      </c>
      <c r="S29" s="2" t="s">
        <v>728</v>
      </c>
      <c r="T29" s="2">
        <v>1</v>
      </c>
      <c r="U29" s="2">
        <v>11</v>
      </c>
      <c r="V29" s="2">
        <v>12</v>
      </c>
      <c r="W29" s="1" t="str">
        <f t="shared" si="1"/>
        <v>http://www.dailygammon.com/bg/invite/new?submit=invite&amp;variant=1&amp;length=11&amp;time_control=12&amp;name=</v>
      </c>
      <c r="X29" s="2" t="str">
        <f t="shared" si="2"/>
        <v>34th-season-2b</v>
      </c>
      <c r="Y29" s="12" t="str">
        <f t="shared" si="3"/>
        <v>invite magic one</v>
      </c>
      <c r="Z29" s="3" t="str">
        <f t="shared" si="4"/>
        <v>http://www.dailygammon.com/bg/invite/new?submit=invite&amp;variant=1&amp;length=11&amp;time_control=12&amp;name=34th-season-2b&amp;player=8801</v>
      </c>
      <c r="AA29" s="3" t="s">
        <v>617</v>
      </c>
      <c r="AB29" s="3" t="str">
        <f t="shared" si="5"/>
        <v>invite magic one</v>
      </c>
    </row>
    <row r="30" spans="2:28" x14ac:dyDescent="0.35">
      <c r="B30" s="51" t="str">
        <f>VLOOKUP(J30,Tabelle1!A:B,2,FALSE)</f>
        <v>2b</v>
      </c>
      <c r="C30" s="2">
        <v>34</v>
      </c>
      <c r="D30" s="51" t="s">
        <v>732</v>
      </c>
      <c r="E30" s="11" t="str">
        <f t="shared" si="0"/>
        <v>2b</v>
      </c>
      <c r="H30" s="2" t="s">
        <v>54</v>
      </c>
      <c r="I30" s="2" t="s">
        <v>54</v>
      </c>
      <c r="J30" s="3" t="s">
        <v>199</v>
      </c>
      <c r="K30" s="3">
        <v>31517</v>
      </c>
      <c r="L30" s="2" t="s">
        <v>200</v>
      </c>
      <c r="N30" s="3" t="s">
        <v>201</v>
      </c>
      <c r="O30" s="3"/>
      <c r="P30" s="3"/>
      <c r="Q30" s="2" t="s">
        <v>174</v>
      </c>
      <c r="T30" s="2">
        <v>1</v>
      </c>
      <c r="U30" s="2">
        <v>11</v>
      </c>
      <c r="V30" s="2">
        <v>12</v>
      </c>
      <c r="W30" s="1" t="str">
        <f t="shared" si="1"/>
        <v>http://www.dailygammon.com/bg/invite/new?submit=invite&amp;variant=1&amp;length=11&amp;time_control=12&amp;name=</v>
      </c>
      <c r="X30" s="2" t="str">
        <f t="shared" si="2"/>
        <v>34th-season-2b</v>
      </c>
      <c r="Y30" s="12" t="str">
        <f t="shared" si="3"/>
        <v>invite Sandr</v>
      </c>
      <c r="Z30" s="3" t="str">
        <f t="shared" si="4"/>
        <v>http://www.dailygammon.com/bg/invite/new?submit=invite&amp;variant=1&amp;length=11&amp;time_control=12&amp;name=34th-season-2b&amp;player=31517</v>
      </c>
      <c r="AA30" s="3" t="s">
        <v>617</v>
      </c>
      <c r="AB30" s="3" t="str">
        <f t="shared" si="5"/>
        <v>invite Sandr</v>
      </c>
    </row>
    <row r="31" spans="2:28" x14ac:dyDescent="0.35">
      <c r="B31" s="51" t="str">
        <f>VLOOKUP(J31,Tabelle1!A:B,2,FALSE)</f>
        <v>2b</v>
      </c>
      <c r="C31" s="2">
        <v>34</v>
      </c>
      <c r="D31" s="51" t="s">
        <v>732</v>
      </c>
      <c r="E31" s="11" t="str">
        <f t="shared" si="0"/>
        <v>2b</v>
      </c>
      <c r="H31" s="2" t="s">
        <v>54</v>
      </c>
      <c r="J31" s="3" t="s">
        <v>927</v>
      </c>
      <c r="K31" s="3">
        <v>28783</v>
      </c>
      <c r="L31" s="2" t="s">
        <v>134</v>
      </c>
      <c r="N31" s="3" t="s">
        <v>135</v>
      </c>
      <c r="Q31" s="2" t="s">
        <v>136</v>
      </c>
      <c r="T31" s="2">
        <v>1</v>
      </c>
      <c r="U31" s="2">
        <v>11</v>
      </c>
      <c r="V31" s="2">
        <v>12</v>
      </c>
      <c r="W31" s="1" t="str">
        <f t="shared" si="1"/>
        <v>http://www.dailygammon.com/bg/invite/new?submit=invite&amp;variant=1&amp;length=11&amp;time_control=12&amp;name=</v>
      </c>
      <c r="X31" s="2" t="str">
        <f t="shared" si="2"/>
        <v>34th-season-2b</v>
      </c>
      <c r="Y31" s="12" t="str">
        <f t="shared" si="3"/>
        <v>invite skonaman</v>
      </c>
      <c r="Z31" s="3" t="str">
        <f t="shared" si="4"/>
        <v>http://www.dailygammon.com/bg/invite/new?submit=invite&amp;variant=1&amp;length=11&amp;time_control=12&amp;name=34th-season-2b&amp;player=28783</v>
      </c>
      <c r="AA31" s="3" t="s">
        <v>617</v>
      </c>
      <c r="AB31" s="3" t="str">
        <f t="shared" si="5"/>
        <v>invite skonaman</v>
      </c>
    </row>
    <row r="32" spans="2:28" x14ac:dyDescent="0.35">
      <c r="B32" s="51" t="str">
        <f>VLOOKUP(J32,Tabelle1!A:B,2,FALSE)</f>
        <v>3a</v>
      </c>
      <c r="C32" s="2">
        <v>34</v>
      </c>
      <c r="D32" s="51" t="s">
        <v>287</v>
      </c>
      <c r="E32" s="11" t="str">
        <f t="shared" si="0"/>
        <v>3a</v>
      </c>
      <c r="H32" s="2" t="s">
        <v>54</v>
      </c>
      <c r="I32" s="2" t="s">
        <v>54</v>
      </c>
      <c r="J32" s="3" t="s">
        <v>203</v>
      </c>
      <c r="K32" s="3">
        <v>22426</v>
      </c>
      <c r="L32" s="2" t="s">
        <v>26</v>
      </c>
      <c r="M32" s="2" t="s">
        <v>205</v>
      </c>
      <c r="N32" s="3" t="s">
        <v>206</v>
      </c>
      <c r="O32" s="3"/>
      <c r="P32" s="3"/>
      <c r="Q32" s="2" t="s">
        <v>204</v>
      </c>
      <c r="T32" s="2">
        <v>1</v>
      </c>
      <c r="U32" s="2">
        <v>11</v>
      </c>
      <c r="V32" s="2">
        <v>12</v>
      </c>
      <c r="W32" s="1" t="str">
        <f t="shared" si="1"/>
        <v>http://www.dailygammon.com/bg/invite/new?submit=invite&amp;variant=1&amp;length=11&amp;time_control=12&amp;name=</v>
      </c>
      <c r="X32" s="2" t="str">
        <f t="shared" si="2"/>
        <v>34th-season-3a</v>
      </c>
      <c r="Y32" s="12" t="str">
        <f t="shared" si="3"/>
        <v>invite DichiBerlin</v>
      </c>
      <c r="Z32" s="3" t="str">
        <f t="shared" si="4"/>
        <v>http://www.dailygammon.com/bg/invite/new?submit=invite&amp;variant=1&amp;length=11&amp;time_control=12&amp;name=34th-season-3a&amp;player=22426</v>
      </c>
      <c r="AA32" s="3" t="s">
        <v>617</v>
      </c>
      <c r="AB32" s="3" t="str">
        <f t="shared" si="5"/>
        <v>invite DichiBerlin</v>
      </c>
    </row>
    <row r="33" spans="1:28" x14ac:dyDescent="0.35">
      <c r="B33" s="51" t="str">
        <f>VLOOKUP(J33,Tabelle1!A:B,2,FALSE)</f>
        <v>3a</v>
      </c>
      <c r="C33" s="2">
        <v>34</v>
      </c>
      <c r="D33" s="51" t="s">
        <v>287</v>
      </c>
      <c r="E33" s="11" t="str">
        <f t="shared" si="0"/>
        <v>3a</v>
      </c>
      <c r="I33" s="2" t="s">
        <v>54</v>
      </c>
      <c r="J33" s="3" t="s">
        <v>0</v>
      </c>
      <c r="K33" s="3">
        <v>20617</v>
      </c>
      <c r="L33" s="2" t="s">
        <v>202</v>
      </c>
      <c r="N33" s="3" t="s">
        <v>40</v>
      </c>
      <c r="Q33" s="2" t="s">
        <v>41</v>
      </c>
      <c r="T33" s="2">
        <v>1</v>
      </c>
      <c r="U33" s="2">
        <v>11</v>
      </c>
      <c r="V33" s="2">
        <v>12</v>
      </c>
      <c r="W33" s="1" t="str">
        <f t="shared" si="1"/>
        <v>http://www.dailygammon.com/bg/invite/new?submit=invite&amp;variant=1&amp;length=11&amp;time_control=12&amp;name=</v>
      </c>
      <c r="X33" s="2" t="str">
        <f t="shared" si="2"/>
        <v>34th-season-3a</v>
      </c>
      <c r="Y33" s="12" t="str">
        <f t="shared" si="3"/>
        <v>invite FuturePrimitive</v>
      </c>
      <c r="Z33" s="3" t="str">
        <f t="shared" si="4"/>
        <v>http://www.dailygammon.com/bg/invite/new?submit=invite&amp;variant=1&amp;length=11&amp;time_control=12&amp;name=34th-season-3a&amp;player=20617</v>
      </c>
      <c r="AA33" s="3" t="s">
        <v>617</v>
      </c>
      <c r="AB33" s="3" t="str">
        <f t="shared" si="5"/>
        <v>invite FuturePrimitive</v>
      </c>
    </row>
    <row r="34" spans="1:28" x14ac:dyDescent="0.35">
      <c r="B34" s="51" t="str">
        <f>VLOOKUP(J34,Tabelle1!A:B,2,FALSE)</f>
        <v>3a</v>
      </c>
      <c r="C34" s="2">
        <v>34</v>
      </c>
      <c r="D34" s="51" t="s">
        <v>287</v>
      </c>
      <c r="E34" s="11" t="str">
        <f t="shared" ref="E34:E65" si="6">HYPERLINK(C34 &amp; IF(OR(AND(C34&gt;10,C34&lt;20),OR(MOD(C34,10)=0,MOD(C34,10)&gt;3)),"th",CHOOSE(MOD(C34,10),"st","nd","rd")) &amp; "_Backgammon-championships_" &amp; D34 &amp; ".xlsm",D34)</f>
        <v>3a</v>
      </c>
      <c r="H34" s="2" t="s">
        <v>54</v>
      </c>
      <c r="J34" s="3" t="s">
        <v>269</v>
      </c>
      <c r="K34" s="3">
        <v>27904</v>
      </c>
      <c r="L34" s="2" t="s">
        <v>296</v>
      </c>
      <c r="N34" s="3" t="s">
        <v>297</v>
      </c>
      <c r="Q34" s="2" t="s">
        <v>298</v>
      </c>
      <c r="T34" s="2">
        <v>1</v>
      </c>
      <c r="U34" s="2">
        <v>11</v>
      </c>
      <c r="V34" s="2">
        <v>12</v>
      </c>
      <c r="W34" s="1" t="str">
        <f t="shared" ref="W34:W65" si="7">"http://www.dailygammon.com/bg/invite/new?submit=invite&amp;variant=" &amp; T34 &amp; "&amp;length=" &amp; U34 &amp; "&amp;time_control=" &amp; V34 &amp; "&amp;name="</f>
        <v>http://www.dailygammon.com/bg/invite/new?submit=invite&amp;variant=1&amp;length=11&amp;time_control=12&amp;name=</v>
      </c>
      <c r="X34" s="2" t="str">
        <f t="shared" ref="X34:X65" si="8">SUBSTITUTE(IF(C34="","Wrong invitation",C34 &amp; IF(RIGHT(C34,1)="1","st",IF(RIGHT(C34,1)="2","nd",IF(RIGHT(C34,1)="3","rd","th"))) &amp; "-season-" &amp; D34)," ","%20")</f>
        <v>34th-season-3a</v>
      </c>
      <c r="Y34" s="12" t="str">
        <f t="shared" ref="Y34:Y65" si="9">IF(C34="","Wrong invitation",CONCATENATE("invite ",J34))</f>
        <v>invite hentea</v>
      </c>
      <c r="Z34" s="3" t="str">
        <f t="shared" ref="Z34:Z65" si="10">IF(C34="","",HYPERLINK(CONCATENATE(W34,X34,"&amp;player=",K34)))</f>
        <v>http://www.dailygammon.com/bg/invite/new?submit=invite&amp;variant=1&amp;length=11&amp;time_control=12&amp;name=34th-season-3a&amp;player=27904</v>
      </c>
      <c r="AA34" s="3" t="s">
        <v>617</v>
      </c>
      <c r="AB34" s="3" t="str">
        <f t="shared" ref="AB34:AB65" si="11">HYPERLINK(Z34,Y34)</f>
        <v>invite hentea</v>
      </c>
    </row>
    <row r="35" spans="1:28" x14ac:dyDescent="0.35">
      <c r="B35" s="51" t="str">
        <f>VLOOKUP(J35,Tabelle1!A:B,2,FALSE)</f>
        <v>3a</v>
      </c>
      <c r="C35" s="2">
        <v>34</v>
      </c>
      <c r="D35" s="51" t="s">
        <v>287</v>
      </c>
      <c r="E35" s="11" t="str">
        <f t="shared" si="6"/>
        <v>3a</v>
      </c>
      <c r="H35" s="2" t="s">
        <v>54</v>
      </c>
      <c r="J35" s="3" t="s">
        <v>194</v>
      </c>
      <c r="K35" s="3">
        <v>22447</v>
      </c>
      <c r="L35" s="2" t="s">
        <v>196</v>
      </c>
      <c r="M35" s="2" t="s">
        <v>197</v>
      </c>
      <c r="N35" s="3" t="s">
        <v>195</v>
      </c>
      <c r="O35" s="3"/>
      <c r="P35" s="3"/>
      <c r="T35" s="2">
        <v>1</v>
      </c>
      <c r="U35" s="2">
        <v>11</v>
      </c>
      <c r="V35" s="2">
        <v>12</v>
      </c>
      <c r="W35" s="1" t="str">
        <f t="shared" si="7"/>
        <v>http://www.dailygammon.com/bg/invite/new?submit=invite&amp;variant=1&amp;length=11&amp;time_control=12&amp;name=</v>
      </c>
      <c r="X35" s="2" t="str">
        <f t="shared" si="8"/>
        <v>34th-season-3a</v>
      </c>
      <c r="Y35" s="12" t="str">
        <f t="shared" si="9"/>
        <v>invite homputer</v>
      </c>
      <c r="Z35" s="3" t="str">
        <f t="shared" si="10"/>
        <v>http://www.dailygammon.com/bg/invite/new?submit=invite&amp;variant=1&amp;length=11&amp;time_control=12&amp;name=34th-season-3a&amp;player=22447</v>
      </c>
      <c r="AA35" s="3" t="s">
        <v>617</v>
      </c>
      <c r="AB35" s="3" t="str">
        <f t="shared" si="11"/>
        <v>invite homputer</v>
      </c>
    </row>
    <row r="36" spans="1:28" x14ac:dyDescent="0.35">
      <c r="B36" s="51" t="str">
        <f>VLOOKUP(J36,Tabelle1!A:B,2,FALSE)</f>
        <v>3a</v>
      </c>
      <c r="C36" s="2">
        <v>34</v>
      </c>
      <c r="D36" s="51" t="s">
        <v>287</v>
      </c>
      <c r="E36" s="11" t="str">
        <f t="shared" si="6"/>
        <v>3a</v>
      </c>
      <c r="J36" s="3" t="s">
        <v>207</v>
      </c>
      <c r="K36" s="3">
        <v>22550</v>
      </c>
      <c r="L36" s="2" t="s">
        <v>209</v>
      </c>
      <c r="N36" s="3" t="s">
        <v>208</v>
      </c>
      <c r="O36" s="3"/>
      <c r="P36" s="3"/>
      <c r="Q36" s="2" t="s">
        <v>210</v>
      </c>
      <c r="T36" s="2">
        <v>1</v>
      </c>
      <c r="U36" s="2">
        <v>11</v>
      </c>
      <c r="V36" s="2">
        <v>12</v>
      </c>
      <c r="W36" s="1" t="str">
        <f t="shared" si="7"/>
        <v>http://www.dailygammon.com/bg/invite/new?submit=invite&amp;variant=1&amp;length=11&amp;time_control=12&amp;name=</v>
      </c>
      <c r="X36" s="2" t="str">
        <f t="shared" si="8"/>
        <v>34th-season-3a</v>
      </c>
      <c r="Y36" s="12" t="str">
        <f t="shared" si="9"/>
        <v>invite justinlca</v>
      </c>
      <c r="Z36" s="3" t="str">
        <f t="shared" si="10"/>
        <v>http://www.dailygammon.com/bg/invite/new?submit=invite&amp;variant=1&amp;length=11&amp;time_control=12&amp;name=34th-season-3a&amp;player=22550</v>
      </c>
      <c r="AA36" s="3" t="s">
        <v>617</v>
      </c>
      <c r="AB36" s="3" t="str">
        <f t="shared" si="11"/>
        <v>invite justinlca</v>
      </c>
    </row>
    <row r="37" spans="1:28" x14ac:dyDescent="0.35">
      <c r="B37" s="51" t="str">
        <f>VLOOKUP(J37,Tabelle1!A:B,2,FALSE)</f>
        <v>3a</v>
      </c>
      <c r="C37" s="2">
        <v>34</v>
      </c>
      <c r="D37" s="51" t="s">
        <v>287</v>
      </c>
      <c r="E37" s="11" t="str">
        <f t="shared" si="6"/>
        <v>3a</v>
      </c>
      <c r="H37" s="2" t="s">
        <v>54</v>
      </c>
      <c r="J37" s="3" t="s">
        <v>342</v>
      </c>
      <c r="K37" s="3">
        <v>19565</v>
      </c>
      <c r="L37" s="2" t="s">
        <v>377</v>
      </c>
      <c r="M37" s="2" t="s">
        <v>378</v>
      </c>
      <c r="N37" s="3" t="s">
        <v>376</v>
      </c>
      <c r="Q37" s="2" t="s">
        <v>353</v>
      </c>
      <c r="S37" s="2" t="s">
        <v>379</v>
      </c>
      <c r="T37" s="2">
        <v>1</v>
      </c>
      <c r="U37" s="2">
        <v>11</v>
      </c>
      <c r="V37" s="2">
        <v>12</v>
      </c>
      <c r="W37" s="1" t="str">
        <f t="shared" si="7"/>
        <v>http://www.dailygammon.com/bg/invite/new?submit=invite&amp;variant=1&amp;length=11&amp;time_control=12&amp;name=</v>
      </c>
      <c r="X37" s="2" t="str">
        <f t="shared" si="8"/>
        <v>34th-season-3a</v>
      </c>
      <c r="Y37" s="12" t="str">
        <f t="shared" si="9"/>
        <v>invite mdsolutions</v>
      </c>
      <c r="Z37" s="3" t="str">
        <f t="shared" si="10"/>
        <v>http://www.dailygammon.com/bg/invite/new?submit=invite&amp;variant=1&amp;length=11&amp;time_control=12&amp;name=34th-season-3a&amp;player=19565</v>
      </c>
      <c r="AA37" s="3" t="s">
        <v>617</v>
      </c>
      <c r="AB37" s="3" t="str">
        <f t="shared" si="11"/>
        <v>invite mdsolutions</v>
      </c>
    </row>
    <row r="38" spans="1:28" ht="29" x14ac:dyDescent="0.35">
      <c r="A38" s="2" t="s">
        <v>945</v>
      </c>
      <c r="B38" s="51" t="str">
        <f>VLOOKUP(J38,Tabelle1!A:B,2,FALSE)</f>
        <v>3a</v>
      </c>
      <c r="C38" s="2">
        <v>34</v>
      </c>
      <c r="D38" s="51" t="s">
        <v>287</v>
      </c>
      <c r="E38" s="11" t="str">
        <f t="shared" si="6"/>
        <v>3a</v>
      </c>
      <c r="H38" s="2" t="s">
        <v>54</v>
      </c>
      <c r="J38" s="37" t="s">
        <v>959</v>
      </c>
      <c r="K38" s="3">
        <v>435</v>
      </c>
      <c r="L38" s="2" t="s">
        <v>960</v>
      </c>
      <c r="M38" s="2" t="s">
        <v>317</v>
      </c>
      <c r="N38" s="1" t="s">
        <v>962</v>
      </c>
      <c r="Q38" s="2" t="s">
        <v>597</v>
      </c>
      <c r="S38" s="4" t="s">
        <v>971</v>
      </c>
      <c r="T38" s="2">
        <v>1</v>
      </c>
      <c r="U38" s="2">
        <v>11</v>
      </c>
      <c r="V38" s="2">
        <v>12</v>
      </c>
      <c r="W38" s="1" t="str">
        <f t="shared" si="7"/>
        <v>http://www.dailygammon.com/bg/invite/new?submit=invite&amp;variant=1&amp;length=11&amp;time_control=12&amp;name=</v>
      </c>
      <c r="X38" s="2" t="str">
        <f t="shared" si="8"/>
        <v>34th-season-3a</v>
      </c>
      <c r="Y38" s="12" t="str">
        <f t="shared" si="9"/>
        <v>invite Muenchi</v>
      </c>
      <c r="Z38" s="3" t="str">
        <f t="shared" si="10"/>
        <v>http://www.dailygammon.com/bg/invite/new?submit=invite&amp;variant=1&amp;length=11&amp;time_control=12&amp;name=34th-season-3a&amp;player=435</v>
      </c>
      <c r="AA38" s="3" t="s">
        <v>617</v>
      </c>
      <c r="AB38" s="3" t="str">
        <f t="shared" si="11"/>
        <v>invite Muenchi</v>
      </c>
    </row>
    <row r="39" spans="1:28" x14ac:dyDescent="0.35">
      <c r="B39" s="51" t="str">
        <f>VLOOKUP(J39,Tabelle1!A:B,2,FALSE)</f>
        <v>3a</v>
      </c>
      <c r="C39" s="2">
        <v>34</v>
      </c>
      <c r="D39" s="51" t="s">
        <v>287</v>
      </c>
      <c r="E39" s="11" t="str">
        <f t="shared" si="6"/>
        <v>3a</v>
      </c>
      <c r="H39" s="2" t="s">
        <v>54</v>
      </c>
      <c r="J39" s="3" t="s">
        <v>115</v>
      </c>
      <c r="K39" s="3">
        <v>26839</v>
      </c>
      <c r="L39" s="2" t="s">
        <v>114</v>
      </c>
      <c r="N39" s="3" t="s">
        <v>116</v>
      </c>
      <c r="Q39" s="2" t="s">
        <v>117</v>
      </c>
      <c r="R39" s="2" t="s">
        <v>684</v>
      </c>
      <c r="T39" s="2">
        <v>1</v>
      </c>
      <c r="U39" s="2">
        <v>11</v>
      </c>
      <c r="V39" s="2">
        <v>12</v>
      </c>
      <c r="W39" s="1" t="str">
        <f t="shared" si="7"/>
        <v>http://www.dailygammon.com/bg/invite/new?submit=invite&amp;variant=1&amp;length=11&amp;time_control=12&amp;name=</v>
      </c>
      <c r="X39" s="2" t="str">
        <f t="shared" si="8"/>
        <v>34th-season-3a</v>
      </c>
      <c r="Y39" s="12" t="str">
        <f t="shared" si="9"/>
        <v>invite Nutsch</v>
      </c>
      <c r="Z39" s="3" t="str">
        <f t="shared" si="10"/>
        <v>http://www.dailygammon.com/bg/invite/new?submit=invite&amp;variant=1&amp;length=11&amp;time_control=12&amp;name=34th-season-3a&amp;player=26839</v>
      </c>
      <c r="AA39" s="3" t="s">
        <v>617</v>
      </c>
      <c r="AB39" s="3" t="str">
        <f t="shared" si="11"/>
        <v>invite Nutsch</v>
      </c>
    </row>
    <row r="40" spans="1:28" x14ac:dyDescent="0.35">
      <c r="B40" s="51" t="str">
        <f>VLOOKUP(J40,Tabelle1!A:B,2,FALSE)</f>
        <v>3a</v>
      </c>
      <c r="C40" s="2">
        <v>34</v>
      </c>
      <c r="D40" s="51" t="s">
        <v>287</v>
      </c>
      <c r="E40" s="11" t="str">
        <f t="shared" si="6"/>
        <v>3a</v>
      </c>
      <c r="H40" s="2" t="s">
        <v>54</v>
      </c>
      <c r="J40" s="3" t="s">
        <v>266</v>
      </c>
      <c r="K40" s="3">
        <v>17909</v>
      </c>
      <c r="L40" s="2" t="s">
        <v>294</v>
      </c>
      <c r="N40" s="3" t="s">
        <v>267</v>
      </c>
      <c r="O40" s="3"/>
      <c r="P40" s="3"/>
      <c r="Q40" s="2" t="s">
        <v>295</v>
      </c>
      <c r="T40" s="2">
        <v>1</v>
      </c>
      <c r="U40" s="2">
        <v>11</v>
      </c>
      <c r="V40" s="2">
        <v>12</v>
      </c>
      <c r="W40" s="1" t="str">
        <f t="shared" si="7"/>
        <v>http://www.dailygammon.com/bg/invite/new?submit=invite&amp;variant=1&amp;length=11&amp;time_control=12&amp;name=</v>
      </c>
      <c r="X40" s="2" t="str">
        <f t="shared" si="8"/>
        <v>34th-season-3a</v>
      </c>
      <c r="Y40" s="12" t="str">
        <f t="shared" si="9"/>
        <v>invite paul11</v>
      </c>
      <c r="Z40" s="3" t="str">
        <f t="shared" si="10"/>
        <v>http://www.dailygammon.com/bg/invite/new?submit=invite&amp;variant=1&amp;length=11&amp;time_control=12&amp;name=34th-season-3a&amp;player=17909</v>
      </c>
      <c r="AA40" s="3" t="s">
        <v>617</v>
      </c>
      <c r="AB40" s="3" t="str">
        <f t="shared" si="11"/>
        <v>invite paul11</v>
      </c>
    </row>
    <row r="41" spans="1:28" x14ac:dyDescent="0.35">
      <c r="B41" s="51" t="str">
        <f>VLOOKUP(J41,Tabelle1!A:B,2,FALSE)</f>
        <v>3a</v>
      </c>
      <c r="C41" s="2">
        <v>34</v>
      </c>
      <c r="D41" s="51" t="s">
        <v>287</v>
      </c>
      <c r="E41" s="11" t="str">
        <f t="shared" si="6"/>
        <v>3a</v>
      </c>
      <c r="H41" s="2" t="s">
        <v>54</v>
      </c>
      <c r="J41" s="3" t="s">
        <v>138</v>
      </c>
      <c r="K41" s="3">
        <v>19182</v>
      </c>
      <c r="L41" s="2" t="s">
        <v>137</v>
      </c>
      <c r="N41" s="3" t="s">
        <v>139</v>
      </c>
      <c r="Q41" s="2" t="s">
        <v>828</v>
      </c>
      <c r="T41" s="2">
        <v>1</v>
      </c>
      <c r="U41" s="2">
        <v>11</v>
      </c>
      <c r="V41" s="2">
        <v>12</v>
      </c>
      <c r="W41" s="1" t="str">
        <f t="shared" si="7"/>
        <v>http://www.dailygammon.com/bg/invite/new?submit=invite&amp;variant=1&amp;length=11&amp;time_control=12&amp;name=</v>
      </c>
      <c r="X41" s="2" t="str">
        <f t="shared" si="8"/>
        <v>34th-season-3a</v>
      </c>
      <c r="Y41" s="12" t="str">
        <f t="shared" si="9"/>
        <v>invite Ringbrett</v>
      </c>
      <c r="Z41" s="3" t="str">
        <f t="shared" si="10"/>
        <v>http://www.dailygammon.com/bg/invite/new?submit=invite&amp;variant=1&amp;length=11&amp;time_control=12&amp;name=34th-season-3a&amp;player=19182</v>
      </c>
      <c r="AA41" s="3" t="s">
        <v>617</v>
      </c>
      <c r="AB41" s="3" t="str">
        <f t="shared" si="11"/>
        <v>invite Ringbrett</v>
      </c>
    </row>
    <row r="42" spans="1:28" ht="14.4" customHeight="1" x14ac:dyDescent="0.35">
      <c r="B42" s="51" t="str">
        <f>VLOOKUP(J42,Tabelle1!A:B,2,FALSE)</f>
        <v>3b</v>
      </c>
      <c r="C42" s="2">
        <v>34</v>
      </c>
      <c r="D42" s="51" t="s">
        <v>733</v>
      </c>
      <c r="E42" s="11" t="str">
        <f t="shared" si="6"/>
        <v>3b</v>
      </c>
      <c r="H42" s="2" t="s">
        <v>54</v>
      </c>
      <c r="J42" s="3" t="s">
        <v>933</v>
      </c>
      <c r="K42" s="3">
        <v>4701</v>
      </c>
      <c r="L42" s="2" t="s">
        <v>108</v>
      </c>
      <c r="N42" s="3" t="s">
        <v>109</v>
      </c>
      <c r="Q42" s="2" t="s">
        <v>110</v>
      </c>
      <c r="T42" s="2">
        <v>1</v>
      </c>
      <c r="U42" s="2">
        <v>11</v>
      </c>
      <c r="V42" s="2">
        <v>12</v>
      </c>
      <c r="W42" s="1" t="str">
        <f t="shared" si="7"/>
        <v>http://www.dailygammon.com/bg/invite/new?submit=invite&amp;variant=1&amp;length=11&amp;time_control=12&amp;name=</v>
      </c>
      <c r="X42" s="2" t="str">
        <f t="shared" si="8"/>
        <v>34th-season-3b</v>
      </c>
      <c r="Y42" s="12" t="str">
        <f t="shared" si="9"/>
        <v>invite averell</v>
      </c>
      <c r="Z42" s="3" t="str">
        <f t="shared" si="10"/>
        <v>http://www.dailygammon.com/bg/invite/new?submit=invite&amp;variant=1&amp;length=11&amp;time_control=12&amp;name=34th-season-3b&amp;player=4701</v>
      </c>
      <c r="AA42" s="3" t="s">
        <v>617</v>
      </c>
      <c r="AB42" s="3" t="str">
        <f t="shared" si="11"/>
        <v>invite averell</v>
      </c>
    </row>
    <row r="43" spans="1:28" x14ac:dyDescent="0.35">
      <c r="B43" s="51" t="str">
        <f>VLOOKUP(J43,Tabelle1!A:B,2,FALSE)</f>
        <v>3b</v>
      </c>
      <c r="C43" s="2">
        <v>34</v>
      </c>
      <c r="D43" s="51" t="s">
        <v>733</v>
      </c>
      <c r="E43" s="11" t="str">
        <f t="shared" si="6"/>
        <v>3b</v>
      </c>
      <c r="H43" s="2" t="s">
        <v>54</v>
      </c>
      <c r="J43" s="3" t="s">
        <v>338</v>
      </c>
      <c r="K43" s="3">
        <v>18147</v>
      </c>
      <c r="L43" s="2" t="s">
        <v>337</v>
      </c>
      <c r="N43" s="3" t="s">
        <v>372</v>
      </c>
      <c r="T43" s="2">
        <v>1</v>
      </c>
      <c r="U43" s="2">
        <v>11</v>
      </c>
      <c r="V43" s="2">
        <v>12</v>
      </c>
      <c r="W43" s="1" t="str">
        <f t="shared" si="7"/>
        <v>http://www.dailygammon.com/bg/invite/new?submit=invite&amp;variant=1&amp;length=11&amp;time_control=12&amp;name=</v>
      </c>
      <c r="X43" s="2" t="str">
        <f t="shared" si="8"/>
        <v>34th-season-3b</v>
      </c>
      <c r="Y43" s="12" t="str">
        <f t="shared" si="9"/>
        <v>invite beyazit</v>
      </c>
      <c r="Z43" s="3" t="str">
        <f t="shared" si="10"/>
        <v>http://www.dailygammon.com/bg/invite/new?submit=invite&amp;variant=1&amp;length=11&amp;time_control=12&amp;name=34th-season-3b&amp;player=18147</v>
      </c>
      <c r="AA43" s="3" t="s">
        <v>617</v>
      </c>
      <c r="AB43" s="3" t="str">
        <f t="shared" si="11"/>
        <v>invite beyazit</v>
      </c>
    </row>
    <row r="44" spans="1:28" x14ac:dyDescent="0.35">
      <c r="B44" s="51" t="str">
        <f>VLOOKUP(J44,Tabelle1!A:B,2,FALSE)</f>
        <v>3b</v>
      </c>
      <c r="C44" s="2">
        <v>34</v>
      </c>
      <c r="D44" s="51" t="s">
        <v>733</v>
      </c>
      <c r="E44" s="11" t="str">
        <f t="shared" si="6"/>
        <v>3b</v>
      </c>
      <c r="H44" s="2" t="s">
        <v>54</v>
      </c>
      <c r="J44" s="3" t="s">
        <v>13</v>
      </c>
      <c r="K44" s="3">
        <v>21692</v>
      </c>
      <c r="L44" s="2" t="s">
        <v>55</v>
      </c>
      <c r="M44" s="2" t="s">
        <v>688</v>
      </c>
      <c r="N44" s="3" t="s">
        <v>111</v>
      </c>
      <c r="O44" s="3"/>
      <c r="P44" s="3" t="s">
        <v>778</v>
      </c>
      <c r="Q44" s="2" t="s">
        <v>112</v>
      </c>
      <c r="S44" s="2" t="s">
        <v>113</v>
      </c>
      <c r="T44" s="2">
        <v>1</v>
      </c>
      <c r="U44" s="2">
        <v>11</v>
      </c>
      <c r="V44" s="2">
        <v>12</v>
      </c>
      <c r="W44" s="1" t="str">
        <f t="shared" si="7"/>
        <v>http://www.dailygammon.com/bg/invite/new?submit=invite&amp;variant=1&amp;length=11&amp;time_control=12&amp;name=</v>
      </c>
      <c r="X44" s="2" t="str">
        <f t="shared" si="8"/>
        <v>34th-season-3b</v>
      </c>
      <c r="Y44" s="12" t="str">
        <f t="shared" si="9"/>
        <v>invite ELANRA</v>
      </c>
      <c r="Z44" s="3" t="str">
        <f t="shared" si="10"/>
        <v>http://www.dailygammon.com/bg/invite/new?submit=invite&amp;variant=1&amp;length=11&amp;time_control=12&amp;name=34th-season-3b&amp;player=21692</v>
      </c>
      <c r="AA44" s="3" t="s">
        <v>617</v>
      </c>
      <c r="AB44" s="3" t="str">
        <f t="shared" si="11"/>
        <v>invite ELANRA</v>
      </c>
    </row>
    <row r="45" spans="1:28" x14ac:dyDescent="0.35">
      <c r="B45" s="51" t="str">
        <f>VLOOKUP(J45,Tabelle1!A:B,2,FALSE)</f>
        <v>3b</v>
      </c>
      <c r="C45" s="2">
        <v>34</v>
      </c>
      <c r="D45" s="51" t="s">
        <v>733</v>
      </c>
      <c r="E45" s="11" t="str">
        <f t="shared" si="6"/>
        <v>3b</v>
      </c>
      <c r="J45" s="37" t="s">
        <v>829</v>
      </c>
      <c r="K45" s="3">
        <v>40029</v>
      </c>
      <c r="L45" s="2" t="s">
        <v>830</v>
      </c>
      <c r="N45" s="3" t="s">
        <v>836</v>
      </c>
      <c r="Q45" s="2" t="s">
        <v>831</v>
      </c>
      <c r="S45" s="2" t="s">
        <v>832</v>
      </c>
      <c r="T45" s="2">
        <v>1</v>
      </c>
      <c r="U45" s="2">
        <v>11</v>
      </c>
      <c r="V45" s="2">
        <v>12</v>
      </c>
      <c r="W45" s="1" t="str">
        <f t="shared" si="7"/>
        <v>http://www.dailygammon.com/bg/invite/new?submit=invite&amp;variant=1&amp;length=11&amp;time_control=12&amp;name=</v>
      </c>
      <c r="X45" s="2" t="str">
        <f t="shared" si="8"/>
        <v>34th-season-3b</v>
      </c>
      <c r="Y45" s="12" t="str">
        <f t="shared" si="9"/>
        <v>invite gleneagle59</v>
      </c>
      <c r="Z45" s="3" t="str">
        <f t="shared" si="10"/>
        <v>http://www.dailygammon.com/bg/invite/new?submit=invite&amp;variant=1&amp;length=11&amp;time_control=12&amp;name=34th-season-3b&amp;player=40029</v>
      </c>
      <c r="AA45" s="3" t="s">
        <v>617</v>
      </c>
      <c r="AB45" s="3" t="str">
        <f t="shared" si="11"/>
        <v>invite gleneagle59</v>
      </c>
    </row>
    <row r="46" spans="1:28" x14ac:dyDescent="0.35">
      <c r="B46" s="51" t="str">
        <f>VLOOKUP(J46,Tabelle1!A:B,2,FALSE)</f>
        <v>3b</v>
      </c>
      <c r="C46" s="2">
        <v>34</v>
      </c>
      <c r="D46" s="51" t="s">
        <v>733</v>
      </c>
      <c r="E46" s="11" t="str">
        <f t="shared" si="6"/>
        <v>3b</v>
      </c>
      <c r="H46" s="2" t="s">
        <v>54</v>
      </c>
      <c r="J46" s="3" t="s">
        <v>925</v>
      </c>
      <c r="K46" s="3">
        <v>18243</v>
      </c>
      <c r="L46" s="2" t="s">
        <v>245</v>
      </c>
      <c r="N46" s="3" t="s">
        <v>246</v>
      </c>
      <c r="Q46" s="2" t="s">
        <v>247</v>
      </c>
      <c r="T46" s="2">
        <v>1</v>
      </c>
      <c r="U46" s="2">
        <v>11</v>
      </c>
      <c r="V46" s="2">
        <v>12</v>
      </c>
      <c r="W46" s="1" t="str">
        <f t="shared" si="7"/>
        <v>http://www.dailygammon.com/bg/invite/new?submit=invite&amp;variant=1&amp;length=11&amp;time_control=12&amp;name=</v>
      </c>
      <c r="X46" s="2" t="str">
        <f t="shared" si="8"/>
        <v>34th-season-3b</v>
      </c>
      <c r="Y46" s="12" t="str">
        <f t="shared" si="9"/>
        <v>invite itcfbod</v>
      </c>
      <c r="Z46" s="3" t="str">
        <f t="shared" si="10"/>
        <v>http://www.dailygammon.com/bg/invite/new?submit=invite&amp;variant=1&amp;length=11&amp;time_control=12&amp;name=34th-season-3b&amp;player=18243</v>
      </c>
      <c r="AA46" s="3" t="s">
        <v>617</v>
      </c>
      <c r="AB46" s="3" t="str">
        <f t="shared" si="11"/>
        <v>invite itcfbod</v>
      </c>
    </row>
    <row r="47" spans="1:28" x14ac:dyDescent="0.35">
      <c r="B47" s="51" t="str">
        <f>VLOOKUP(J47,Tabelle1!A:B,2,FALSE)</f>
        <v>3b</v>
      </c>
      <c r="C47" s="2">
        <v>34</v>
      </c>
      <c r="D47" s="51" t="s">
        <v>733</v>
      </c>
      <c r="E47" s="11" t="str">
        <f t="shared" si="6"/>
        <v>3b</v>
      </c>
      <c r="H47" s="2" t="s">
        <v>54</v>
      </c>
      <c r="J47" s="3" t="s">
        <v>812</v>
      </c>
      <c r="K47" s="3">
        <v>30367</v>
      </c>
      <c r="L47" s="2" t="s">
        <v>813</v>
      </c>
      <c r="N47" s="3" t="s">
        <v>814</v>
      </c>
      <c r="P47" s="2" t="s">
        <v>866</v>
      </c>
      <c r="Q47" s="2" t="s">
        <v>815</v>
      </c>
      <c r="S47" s="2" t="s">
        <v>817</v>
      </c>
      <c r="T47" s="2">
        <v>1</v>
      </c>
      <c r="U47" s="2">
        <v>11</v>
      </c>
      <c r="V47" s="2">
        <v>12</v>
      </c>
      <c r="W47" s="1" t="str">
        <f t="shared" si="7"/>
        <v>http://www.dailygammon.com/bg/invite/new?submit=invite&amp;variant=1&amp;length=11&amp;time_control=12&amp;name=</v>
      </c>
      <c r="X47" s="2" t="str">
        <f t="shared" si="8"/>
        <v>34th-season-3b</v>
      </c>
      <c r="Y47" s="12" t="str">
        <f t="shared" si="9"/>
        <v>invite Mandria</v>
      </c>
      <c r="Z47" s="3" t="str">
        <f t="shared" si="10"/>
        <v>http://www.dailygammon.com/bg/invite/new?submit=invite&amp;variant=1&amp;length=11&amp;time_control=12&amp;name=34th-season-3b&amp;player=30367</v>
      </c>
      <c r="AA47" s="3" t="s">
        <v>617</v>
      </c>
      <c r="AB47" s="3" t="str">
        <f t="shared" si="11"/>
        <v>invite Mandria</v>
      </c>
    </row>
    <row r="48" spans="1:28" x14ac:dyDescent="0.35">
      <c r="B48" s="51" t="str">
        <f>VLOOKUP(J48,Tabelle1!A:B,2,FALSE)</f>
        <v>3b</v>
      </c>
      <c r="C48" s="2">
        <v>34</v>
      </c>
      <c r="D48" s="51" t="s">
        <v>733</v>
      </c>
      <c r="E48" s="11" t="str">
        <f t="shared" si="6"/>
        <v>3b</v>
      </c>
      <c r="H48" s="2" t="s">
        <v>54</v>
      </c>
      <c r="J48" s="3" t="s">
        <v>163</v>
      </c>
      <c r="K48" s="3">
        <v>6508</v>
      </c>
      <c r="L48" s="2" t="s">
        <v>165</v>
      </c>
      <c r="M48" s="2" t="s">
        <v>168</v>
      </c>
      <c r="N48" s="3" t="s">
        <v>166</v>
      </c>
      <c r="O48" s="3"/>
      <c r="P48" s="3"/>
      <c r="Q48" s="2" t="s">
        <v>164</v>
      </c>
      <c r="S48" s="2" t="s">
        <v>167</v>
      </c>
      <c r="T48" s="2">
        <v>1</v>
      </c>
      <c r="U48" s="2">
        <v>11</v>
      </c>
      <c r="V48" s="2">
        <v>12</v>
      </c>
      <c r="W48" s="1" t="str">
        <f t="shared" si="7"/>
        <v>http://www.dailygammon.com/bg/invite/new?submit=invite&amp;variant=1&amp;length=11&amp;time_control=12&amp;name=</v>
      </c>
      <c r="X48" s="2" t="str">
        <f t="shared" si="8"/>
        <v>34th-season-3b</v>
      </c>
      <c r="Y48" s="12" t="str">
        <f t="shared" si="9"/>
        <v>invite Otis</v>
      </c>
      <c r="Z48" s="3" t="str">
        <f t="shared" si="10"/>
        <v>http://www.dailygammon.com/bg/invite/new?submit=invite&amp;variant=1&amp;length=11&amp;time_control=12&amp;name=34th-season-3b&amp;player=6508</v>
      </c>
      <c r="AA48" s="3" t="s">
        <v>617</v>
      </c>
      <c r="AB48" s="3" t="str">
        <f t="shared" si="11"/>
        <v>invite Otis</v>
      </c>
    </row>
    <row r="49" spans="1:28" x14ac:dyDescent="0.35">
      <c r="B49" s="51" t="str">
        <f>VLOOKUP(J49,Tabelle1!A:B,2,FALSE)</f>
        <v>3b</v>
      </c>
      <c r="C49" s="2">
        <v>34</v>
      </c>
      <c r="D49" s="51" t="s">
        <v>733</v>
      </c>
      <c r="E49" s="11" t="str">
        <f t="shared" si="6"/>
        <v>3b</v>
      </c>
      <c r="H49" s="2" t="s">
        <v>54</v>
      </c>
      <c r="J49" s="3" t="s">
        <v>273</v>
      </c>
      <c r="K49" s="3">
        <v>32600</v>
      </c>
      <c r="L49" s="2" t="s">
        <v>274</v>
      </c>
      <c r="M49" s="2" t="s">
        <v>275</v>
      </c>
      <c r="N49" s="3" t="s">
        <v>277</v>
      </c>
      <c r="O49" s="3"/>
      <c r="P49" s="3"/>
      <c r="Q49" s="2" t="s">
        <v>276</v>
      </c>
      <c r="R49" s="2" t="s">
        <v>687</v>
      </c>
      <c r="T49" s="2">
        <v>1</v>
      </c>
      <c r="U49" s="2">
        <v>11</v>
      </c>
      <c r="V49" s="2">
        <v>12</v>
      </c>
      <c r="W49" s="1" t="str">
        <f t="shared" si="7"/>
        <v>http://www.dailygammon.com/bg/invite/new?submit=invite&amp;variant=1&amp;length=11&amp;time_control=12&amp;name=</v>
      </c>
      <c r="X49" s="2" t="str">
        <f t="shared" si="8"/>
        <v>34th-season-3b</v>
      </c>
      <c r="Y49" s="12" t="str">
        <f t="shared" si="9"/>
        <v>invite SGE2019</v>
      </c>
      <c r="Z49" s="3" t="str">
        <f t="shared" si="10"/>
        <v>http://www.dailygammon.com/bg/invite/new?submit=invite&amp;variant=1&amp;length=11&amp;time_control=12&amp;name=34th-season-3b&amp;player=32600</v>
      </c>
      <c r="AA49" s="3" t="s">
        <v>617</v>
      </c>
      <c r="AB49" s="3" t="str">
        <f t="shared" si="11"/>
        <v>invite SGE2019</v>
      </c>
    </row>
    <row r="50" spans="1:28" x14ac:dyDescent="0.35">
      <c r="B50" s="51" t="str">
        <f>VLOOKUP(J50,Tabelle1!A:B,2,FALSE)</f>
        <v>3b</v>
      </c>
      <c r="C50" s="2">
        <v>34</v>
      </c>
      <c r="D50" s="51" t="s">
        <v>733</v>
      </c>
      <c r="E50" s="11" t="str">
        <f t="shared" si="6"/>
        <v>3b</v>
      </c>
      <c r="H50" s="2" t="s">
        <v>54</v>
      </c>
      <c r="J50" s="3" t="s">
        <v>339</v>
      </c>
      <c r="K50" s="3">
        <v>17562</v>
      </c>
      <c r="L50" s="2" t="s">
        <v>347</v>
      </c>
      <c r="M50" s="2" t="s">
        <v>348</v>
      </c>
      <c r="N50" s="3" t="s">
        <v>345</v>
      </c>
      <c r="O50" s="3"/>
      <c r="P50" s="3" t="s">
        <v>712</v>
      </c>
      <c r="Q50" s="2" t="s">
        <v>346</v>
      </c>
      <c r="T50" s="2">
        <v>1</v>
      </c>
      <c r="U50" s="2">
        <v>11</v>
      </c>
      <c r="V50" s="2">
        <v>12</v>
      </c>
      <c r="W50" s="1" t="str">
        <f t="shared" si="7"/>
        <v>http://www.dailygammon.com/bg/invite/new?submit=invite&amp;variant=1&amp;length=11&amp;time_control=12&amp;name=</v>
      </c>
      <c r="X50" s="2" t="str">
        <f t="shared" si="8"/>
        <v>34th-season-3b</v>
      </c>
      <c r="Y50" s="12" t="str">
        <f t="shared" si="9"/>
        <v>invite tochev71</v>
      </c>
      <c r="Z50" s="3" t="str">
        <f t="shared" si="10"/>
        <v>http://www.dailygammon.com/bg/invite/new?submit=invite&amp;variant=1&amp;length=11&amp;time_control=12&amp;name=34th-season-3b&amp;player=17562</v>
      </c>
      <c r="AA50" s="3" t="s">
        <v>617</v>
      </c>
      <c r="AB50" s="3" t="str">
        <f t="shared" si="11"/>
        <v>invite tochev71</v>
      </c>
    </row>
    <row r="51" spans="1:28" x14ac:dyDescent="0.35">
      <c r="B51" s="51" t="str">
        <f>VLOOKUP(J51,Tabelle1!A:B,2,FALSE)</f>
        <v>3b</v>
      </c>
      <c r="C51" s="2">
        <v>34</v>
      </c>
      <c r="D51" s="51" t="s">
        <v>733</v>
      </c>
      <c r="E51" s="11" t="str">
        <f t="shared" si="6"/>
        <v>3b</v>
      </c>
      <c r="H51" s="2" t="s">
        <v>54</v>
      </c>
      <c r="J51" s="3" t="s">
        <v>128</v>
      </c>
      <c r="K51" s="3">
        <v>18866</v>
      </c>
      <c r="L51" s="2" t="s">
        <v>127</v>
      </c>
      <c r="N51" s="3" t="s">
        <v>129</v>
      </c>
      <c r="Q51" s="2" t="s">
        <v>130</v>
      </c>
      <c r="T51" s="2">
        <v>1</v>
      </c>
      <c r="U51" s="2">
        <v>11</v>
      </c>
      <c r="V51" s="2">
        <v>12</v>
      </c>
      <c r="W51" s="1" t="str">
        <f t="shared" si="7"/>
        <v>http://www.dailygammon.com/bg/invite/new?submit=invite&amp;variant=1&amp;length=11&amp;time_control=12&amp;name=</v>
      </c>
      <c r="X51" s="2" t="str">
        <f t="shared" si="8"/>
        <v>34th-season-3b</v>
      </c>
      <c r="Y51" s="12" t="str">
        <f t="shared" si="9"/>
        <v>invite Uli1001</v>
      </c>
      <c r="Z51" s="3" t="str">
        <f t="shared" si="10"/>
        <v>http://www.dailygammon.com/bg/invite/new?submit=invite&amp;variant=1&amp;length=11&amp;time_control=12&amp;name=34th-season-3b&amp;player=18866</v>
      </c>
      <c r="AA51" s="3" t="s">
        <v>617</v>
      </c>
      <c r="AB51" s="3" t="str">
        <f t="shared" si="11"/>
        <v>invite Uli1001</v>
      </c>
    </row>
    <row r="52" spans="1:28" x14ac:dyDescent="0.35">
      <c r="B52" s="51" t="str">
        <f>VLOOKUP(J52,Tabelle1!A:B,2,FALSE)</f>
        <v>3c</v>
      </c>
      <c r="C52" s="2">
        <v>34</v>
      </c>
      <c r="D52" s="51" t="s">
        <v>734</v>
      </c>
      <c r="E52" s="11" t="str">
        <f t="shared" si="6"/>
        <v>3c</v>
      </c>
      <c r="H52" s="2" t="s">
        <v>54</v>
      </c>
      <c r="J52" s="6" t="s">
        <v>662</v>
      </c>
      <c r="K52" s="3">
        <v>21821</v>
      </c>
      <c r="N52" s="3" t="s">
        <v>666</v>
      </c>
      <c r="Q52" s="2" t="s">
        <v>664</v>
      </c>
      <c r="S52" s="2" t="s">
        <v>665</v>
      </c>
      <c r="T52" s="2">
        <v>1</v>
      </c>
      <c r="U52" s="2">
        <v>11</v>
      </c>
      <c r="V52" s="2">
        <v>12</v>
      </c>
      <c r="W52" s="1" t="str">
        <f t="shared" si="7"/>
        <v>http://www.dailygammon.com/bg/invite/new?submit=invite&amp;variant=1&amp;length=11&amp;time_control=12&amp;name=</v>
      </c>
      <c r="X52" s="2" t="str">
        <f t="shared" si="8"/>
        <v>34th-season-3c</v>
      </c>
      <c r="Y52" s="12" t="str">
        <f t="shared" si="9"/>
        <v>invite coloman</v>
      </c>
      <c r="Z52" s="3" t="str">
        <f t="shared" si="10"/>
        <v>http://www.dailygammon.com/bg/invite/new?submit=invite&amp;variant=1&amp;length=11&amp;time_control=12&amp;name=34th-season-3c&amp;player=21821</v>
      </c>
      <c r="AA52" s="3" t="s">
        <v>617</v>
      </c>
      <c r="AB52" s="3" t="str">
        <f t="shared" si="11"/>
        <v>invite coloman</v>
      </c>
    </row>
    <row r="53" spans="1:28" x14ac:dyDescent="0.35">
      <c r="B53" s="51" t="str">
        <f>VLOOKUP(J53,Tabelle1!A:B,2,FALSE)</f>
        <v>3c</v>
      </c>
      <c r="C53" s="2">
        <v>34</v>
      </c>
      <c r="D53" s="51" t="s">
        <v>734</v>
      </c>
      <c r="E53" s="11" t="str">
        <f t="shared" si="6"/>
        <v>3c</v>
      </c>
      <c r="H53" s="2" t="s">
        <v>54</v>
      </c>
      <c r="J53" s="3" t="s">
        <v>311</v>
      </c>
      <c r="K53" s="3">
        <v>20696</v>
      </c>
      <c r="L53" s="2" t="s">
        <v>319</v>
      </c>
      <c r="M53" s="2" t="s">
        <v>320</v>
      </c>
      <c r="N53" s="3" t="s">
        <v>321</v>
      </c>
      <c r="O53" s="3"/>
      <c r="P53" s="3"/>
      <c r="Q53" s="2" t="s">
        <v>322</v>
      </c>
      <c r="S53" s="4"/>
      <c r="T53" s="2">
        <v>1</v>
      </c>
      <c r="U53" s="2">
        <v>11</v>
      </c>
      <c r="V53" s="2">
        <v>12</v>
      </c>
      <c r="W53" s="1" t="str">
        <f t="shared" si="7"/>
        <v>http://www.dailygammon.com/bg/invite/new?submit=invite&amp;variant=1&amp;length=11&amp;time_control=12&amp;name=</v>
      </c>
      <c r="X53" s="2" t="str">
        <f t="shared" si="8"/>
        <v>34th-season-3c</v>
      </c>
      <c r="Y53" s="12" t="str">
        <f t="shared" si="9"/>
        <v>invite CovGamSirius</v>
      </c>
      <c r="Z53" s="3" t="str">
        <f t="shared" si="10"/>
        <v>http://www.dailygammon.com/bg/invite/new?submit=invite&amp;variant=1&amp;length=11&amp;time_control=12&amp;name=34th-season-3c&amp;player=20696</v>
      </c>
      <c r="AA53" s="3" t="s">
        <v>617</v>
      </c>
      <c r="AB53" s="3" t="str">
        <f t="shared" si="11"/>
        <v>invite CovGamSirius</v>
      </c>
    </row>
    <row r="54" spans="1:28" x14ac:dyDescent="0.35">
      <c r="B54" s="51" t="str">
        <f>VLOOKUP(J54,Tabelle1!A:B,2,FALSE)</f>
        <v>3c</v>
      </c>
      <c r="C54" s="2">
        <v>34</v>
      </c>
      <c r="D54" s="51" t="s">
        <v>734</v>
      </c>
      <c r="E54" s="11" t="str">
        <f t="shared" si="6"/>
        <v>3c</v>
      </c>
      <c r="J54" s="3" t="s">
        <v>7</v>
      </c>
      <c r="K54" s="3">
        <v>3719</v>
      </c>
      <c r="L54" s="2" t="s">
        <v>148</v>
      </c>
      <c r="N54" s="3" t="s">
        <v>6</v>
      </c>
      <c r="O54" s="3"/>
      <c r="P54" s="3"/>
      <c r="Q54" s="2" t="s">
        <v>149</v>
      </c>
      <c r="T54" s="2">
        <v>1</v>
      </c>
      <c r="U54" s="2">
        <v>11</v>
      </c>
      <c r="V54" s="2">
        <v>12</v>
      </c>
      <c r="W54" s="1" t="str">
        <f t="shared" si="7"/>
        <v>http://www.dailygammon.com/bg/invite/new?submit=invite&amp;variant=1&amp;length=11&amp;time_control=12&amp;name=</v>
      </c>
      <c r="X54" s="2" t="str">
        <f t="shared" si="8"/>
        <v>34th-season-3c</v>
      </c>
      <c r="Y54" s="12" t="str">
        <f t="shared" si="9"/>
        <v>invite EU-BNL-verding</v>
      </c>
      <c r="Z54" s="3" t="str">
        <f t="shared" si="10"/>
        <v>http://www.dailygammon.com/bg/invite/new?submit=invite&amp;variant=1&amp;length=11&amp;time_control=12&amp;name=34th-season-3c&amp;player=3719</v>
      </c>
      <c r="AA54" s="3" t="s">
        <v>617</v>
      </c>
      <c r="AB54" s="3" t="str">
        <f t="shared" si="11"/>
        <v>invite EU-BNL-verding</v>
      </c>
    </row>
    <row r="55" spans="1:28" x14ac:dyDescent="0.35">
      <c r="B55" s="51" t="str">
        <f>VLOOKUP(J55,Tabelle1!A:B,2,FALSE)</f>
        <v>3c</v>
      </c>
      <c r="C55" s="2">
        <v>34</v>
      </c>
      <c r="D55" s="51" t="s">
        <v>734</v>
      </c>
      <c r="E55" s="11" t="str">
        <f t="shared" si="6"/>
        <v>3c</v>
      </c>
      <c r="H55" s="2" t="s">
        <v>54</v>
      </c>
      <c r="J55" s="3" t="s">
        <v>763</v>
      </c>
      <c r="K55" s="3">
        <v>7477</v>
      </c>
      <c r="L55" s="2" t="s">
        <v>49</v>
      </c>
      <c r="M55" s="2" t="s">
        <v>764</v>
      </c>
      <c r="N55" s="3" t="s">
        <v>765</v>
      </c>
      <c r="Q55" s="2" t="s">
        <v>766</v>
      </c>
      <c r="S55" s="2" t="s">
        <v>772</v>
      </c>
      <c r="T55" s="2">
        <v>1</v>
      </c>
      <c r="U55" s="2">
        <v>11</v>
      </c>
      <c r="V55" s="2">
        <v>12</v>
      </c>
      <c r="W55" s="1" t="str">
        <f t="shared" si="7"/>
        <v>http://www.dailygammon.com/bg/invite/new?submit=invite&amp;variant=1&amp;length=11&amp;time_control=12&amp;name=</v>
      </c>
      <c r="X55" s="2" t="str">
        <f t="shared" si="8"/>
        <v>34th-season-3c</v>
      </c>
      <c r="Y55" s="12" t="str">
        <f t="shared" si="9"/>
        <v>invite Hendry</v>
      </c>
      <c r="Z55" s="3" t="str">
        <f t="shared" si="10"/>
        <v>http://www.dailygammon.com/bg/invite/new?submit=invite&amp;variant=1&amp;length=11&amp;time_control=12&amp;name=34th-season-3c&amp;player=7477</v>
      </c>
      <c r="AA55" s="3" t="s">
        <v>617</v>
      </c>
      <c r="AB55" s="3" t="str">
        <f t="shared" si="11"/>
        <v>invite Hendry</v>
      </c>
    </row>
    <row r="56" spans="1:28" x14ac:dyDescent="0.35">
      <c r="B56" s="51" t="str">
        <f>VLOOKUP(J56,Tabelle1!A:B,2,FALSE)</f>
        <v>3c</v>
      </c>
      <c r="C56" s="2">
        <v>34</v>
      </c>
      <c r="D56" s="51" t="s">
        <v>734</v>
      </c>
      <c r="E56" s="11" t="str">
        <f t="shared" si="6"/>
        <v>3c</v>
      </c>
      <c r="H56" s="2" t="s">
        <v>54</v>
      </c>
      <c r="J56" s="3" t="s">
        <v>94</v>
      </c>
      <c r="K56" s="3">
        <v>18993</v>
      </c>
      <c r="L56" s="2" t="s">
        <v>93</v>
      </c>
      <c r="N56" s="3" t="s">
        <v>95</v>
      </c>
      <c r="Q56" s="2" t="s">
        <v>96</v>
      </c>
      <c r="T56" s="2">
        <v>1</v>
      </c>
      <c r="U56" s="2">
        <v>11</v>
      </c>
      <c r="V56" s="2">
        <v>12</v>
      </c>
      <c r="W56" s="1" t="str">
        <f t="shared" si="7"/>
        <v>http://www.dailygammon.com/bg/invite/new?submit=invite&amp;variant=1&amp;length=11&amp;time_control=12&amp;name=</v>
      </c>
      <c r="X56" s="2" t="str">
        <f t="shared" si="8"/>
        <v>34th-season-3c</v>
      </c>
      <c r="Y56" s="12" t="str">
        <f t="shared" si="9"/>
        <v>invite JimO</v>
      </c>
      <c r="Z56" s="3" t="str">
        <f t="shared" si="10"/>
        <v>http://www.dailygammon.com/bg/invite/new?submit=invite&amp;variant=1&amp;length=11&amp;time_control=12&amp;name=34th-season-3c&amp;player=18993</v>
      </c>
      <c r="AA56" s="3" t="s">
        <v>617</v>
      </c>
      <c r="AB56" s="3" t="str">
        <f t="shared" si="11"/>
        <v>invite JimO</v>
      </c>
    </row>
    <row r="57" spans="1:28" x14ac:dyDescent="0.35">
      <c r="B57" s="51" t="str">
        <f>VLOOKUP(J57,Tabelle1!A:B,2,FALSE)</f>
        <v>3c</v>
      </c>
      <c r="C57" s="2">
        <v>34</v>
      </c>
      <c r="D57" s="51" t="s">
        <v>734</v>
      </c>
      <c r="E57" s="11" t="str">
        <f t="shared" si="6"/>
        <v>3c</v>
      </c>
      <c r="J57" s="37" t="s">
        <v>833</v>
      </c>
      <c r="K57" s="3">
        <v>1</v>
      </c>
      <c r="L57" s="2" t="s">
        <v>833</v>
      </c>
      <c r="M57" s="2" t="s">
        <v>869</v>
      </c>
      <c r="N57" s="3" t="s">
        <v>837</v>
      </c>
      <c r="Q57" s="2" t="s">
        <v>835</v>
      </c>
      <c r="S57" s="2" t="s">
        <v>834</v>
      </c>
      <c r="T57" s="2">
        <v>1</v>
      </c>
      <c r="U57" s="2">
        <v>11</v>
      </c>
      <c r="V57" s="2">
        <v>12</v>
      </c>
      <c r="W57" s="1" t="str">
        <f t="shared" si="7"/>
        <v>http://www.dailygammon.com/bg/invite/new?submit=invite&amp;variant=1&amp;length=11&amp;time_control=12&amp;name=</v>
      </c>
      <c r="X57" s="2" t="str">
        <f t="shared" si="8"/>
        <v>34th-season-3c</v>
      </c>
      <c r="Y57" s="12" t="str">
        <f t="shared" si="9"/>
        <v>invite Jordan</v>
      </c>
      <c r="Z57" s="3" t="str">
        <f t="shared" si="10"/>
        <v>http://www.dailygammon.com/bg/invite/new?submit=invite&amp;variant=1&amp;length=11&amp;time_control=12&amp;name=34th-season-3c&amp;player=1</v>
      </c>
      <c r="AA57" s="3" t="s">
        <v>617</v>
      </c>
      <c r="AB57" s="3" t="str">
        <f t="shared" si="11"/>
        <v>invite Jordan</v>
      </c>
    </row>
    <row r="58" spans="1:28" x14ac:dyDescent="0.35">
      <c r="B58" s="51" t="str">
        <f>VLOOKUP(J58,Tabelle1!A:B,2,FALSE)</f>
        <v>3c</v>
      </c>
      <c r="C58" s="2">
        <v>34</v>
      </c>
      <c r="D58" s="51" t="s">
        <v>734</v>
      </c>
      <c r="E58" s="11" t="str">
        <f t="shared" si="6"/>
        <v>3c</v>
      </c>
      <c r="H58" s="2" t="s">
        <v>54</v>
      </c>
      <c r="I58" s="2" t="s">
        <v>54</v>
      </c>
      <c r="J58" s="3" t="s">
        <v>223</v>
      </c>
      <c r="K58" s="3">
        <v>26299</v>
      </c>
      <c r="L58" s="2" t="s">
        <v>224</v>
      </c>
      <c r="N58" s="3" t="s">
        <v>306</v>
      </c>
      <c r="O58" s="3"/>
      <c r="P58" s="3"/>
      <c r="Q58" s="2" t="s">
        <v>225</v>
      </c>
      <c r="T58" s="2">
        <v>1</v>
      </c>
      <c r="U58" s="2">
        <v>11</v>
      </c>
      <c r="V58" s="2">
        <v>12</v>
      </c>
      <c r="W58" s="1" t="str">
        <f t="shared" si="7"/>
        <v>http://www.dailygammon.com/bg/invite/new?submit=invite&amp;variant=1&amp;length=11&amp;time_control=12&amp;name=</v>
      </c>
      <c r="X58" s="2" t="str">
        <f t="shared" si="8"/>
        <v>34th-season-3c</v>
      </c>
      <c r="Y58" s="12" t="str">
        <f t="shared" si="9"/>
        <v>invite matte.macchiato</v>
      </c>
      <c r="Z58" s="3" t="str">
        <f t="shared" si="10"/>
        <v>http://www.dailygammon.com/bg/invite/new?submit=invite&amp;variant=1&amp;length=11&amp;time_control=12&amp;name=34th-season-3c&amp;player=26299</v>
      </c>
      <c r="AA58" s="3" t="s">
        <v>617</v>
      </c>
      <c r="AB58" s="3" t="str">
        <f t="shared" si="11"/>
        <v>invite matte.macchiato</v>
      </c>
    </row>
    <row r="59" spans="1:28" x14ac:dyDescent="0.35">
      <c r="B59" s="51" t="str">
        <f>VLOOKUP(J59,Tabelle1!A:B,2,FALSE)</f>
        <v>3c</v>
      </c>
      <c r="C59" s="2">
        <v>34</v>
      </c>
      <c r="D59" s="51" t="s">
        <v>734</v>
      </c>
      <c r="E59" s="11" t="str">
        <f t="shared" si="6"/>
        <v>3c</v>
      </c>
      <c r="J59" s="3" t="s">
        <v>807</v>
      </c>
      <c r="K59" s="3">
        <v>19359</v>
      </c>
      <c r="L59" s="2" t="s">
        <v>808</v>
      </c>
      <c r="N59" s="3" t="s">
        <v>811</v>
      </c>
      <c r="Q59" s="2" t="s">
        <v>809</v>
      </c>
      <c r="S59" s="2" t="s">
        <v>810</v>
      </c>
      <c r="T59" s="2">
        <v>1</v>
      </c>
      <c r="U59" s="2">
        <v>11</v>
      </c>
      <c r="V59" s="2">
        <v>12</v>
      </c>
      <c r="W59" s="1" t="str">
        <f t="shared" si="7"/>
        <v>http://www.dailygammon.com/bg/invite/new?submit=invite&amp;variant=1&amp;length=11&amp;time_control=12&amp;name=</v>
      </c>
      <c r="X59" s="2" t="str">
        <f t="shared" si="8"/>
        <v>34th-season-3c</v>
      </c>
      <c r="Y59" s="12" t="str">
        <f t="shared" si="9"/>
        <v>invite ReggiePerrin</v>
      </c>
      <c r="Z59" s="3" t="str">
        <f t="shared" si="10"/>
        <v>http://www.dailygammon.com/bg/invite/new?submit=invite&amp;variant=1&amp;length=11&amp;time_control=12&amp;name=34th-season-3c&amp;player=19359</v>
      </c>
      <c r="AA59" s="3" t="s">
        <v>617</v>
      </c>
      <c r="AB59" s="3" t="str">
        <f t="shared" si="11"/>
        <v>invite ReggiePerrin</v>
      </c>
    </row>
    <row r="60" spans="1:28" ht="29" x14ac:dyDescent="0.35">
      <c r="A60" s="2" t="s">
        <v>945</v>
      </c>
      <c r="B60" s="51" t="str">
        <f>VLOOKUP(J60,Tabelle1!A:B,2,FALSE)</f>
        <v>3c</v>
      </c>
      <c r="C60" s="2">
        <v>34</v>
      </c>
      <c r="D60" s="51" t="s">
        <v>734</v>
      </c>
      <c r="E60" s="11" t="str">
        <f t="shared" si="6"/>
        <v>3c</v>
      </c>
      <c r="H60" s="2" t="s">
        <v>54</v>
      </c>
      <c r="J60" s="37" t="s">
        <v>950</v>
      </c>
      <c r="K60" s="3">
        <v>21083</v>
      </c>
      <c r="L60" s="2" t="s">
        <v>912</v>
      </c>
      <c r="N60" s="1" t="s">
        <v>951</v>
      </c>
      <c r="Q60" s="2" t="s">
        <v>949</v>
      </c>
      <c r="S60" s="4" t="s">
        <v>969</v>
      </c>
      <c r="T60" s="2">
        <v>1</v>
      </c>
      <c r="U60" s="2">
        <v>11</v>
      </c>
      <c r="V60" s="2">
        <v>12</v>
      </c>
      <c r="W60" s="1" t="str">
        <f t="shared" si="7"/>
        <v>http://www.dailygammon.com/bg/invite/new?submit=invite&amp;variant=1&amp;length=11&amp;time_control=12&amp;name=</v>
      </c>
      <c r="X60" s="2" t="str">
        <f t="shared" si="8"/>
        <v>34th-season-3c</v>
      </c>
      <c r="Y60" s="12" t="str">
        <f t="shared" si="9"/>
        <v>invite Steinlaus</v>
      </c>
      <c r="Z60" s="3" t="str">
        <f t="shared" si="10"/>
        <v>http://www.dailygammon.com/bg/invite/new?submit=invite&amp;variant=1&amp;length=11&amp;time_control=12&amp;name=34th-season-3c&amp;player=21083</v>
      </c>
      <c r="AA60" s="3" t="s">
        <v>617</v>
      </c>
      <c r="AB60" s="3" t="str">
        <f t="shared" si="11"/>
        <v>invite Steinlaus</v>
      </c>
    </row>
    <row r="61" spans="1:28" ht="14.4" customHeight="1" x14ac:dyDescent="0.35">
      <c r="B61" s="51" t="str">
        <f>VLOOKUP(J61,Tabelle1!A:B,2,FALSE)</f>
        <v>3c</v>
      </c>
      <c r="C61" s="2">
        <v>34</v>
      </c>
      <c r="D61" s="51" t="s">
        <v>734</v>
      </c>
      <c r="E61" s="11" t="str">
        <f t="shared" si="6"/>
        <v>3c</v>
      </c>
      <c r="H61" s="2" t="s">
        <v>54</v>
      </c>
      <c r="J61" s="3" t="s">
        <v>3</v>
      </c>
      <c r="K61" s="3">
        <v>21648</v>
      </c>
      <c r="L61" s="2" t="s">
        <v>3</v>
      </c>
      <c r="N61" s="3" t="s">
        <v>52</v>
      </c>
      <c r="Q61" s="2" t="s">
        <v>53</v>
      </c>
      <c r="T61" s="2">
        <v>1</v>
      </c>
      <c r="U61" s="2">
        <v>11</v>
      </c>
      <c r="V61" s="2">
        <v>12</v>
      </c>
      <c r="W61" s="1" t="str">
        <f t="shared" si="7"/>
        <v>http://www.dailygammon.com/bg/invite/new?submit=invite&amp;variant=1&amp;length=11&amp;time_control=12&amp;name=</v>
      </c>
      <c r="X61" s="2" t="str">
        <f t="shared" si="8"/>
        <v>34th-season-3c</v>
      </c>
      <c r="Y61" s="12" t="str">
        <f t="shared" si="9"/>
        <v>invite Turz</v>
      </c>
      <c r="Z61" s="3" t="str">
        <f t="shared" si="10"/>
        <v>http://www.dailygammon.com/bg/invite/new?submit=invite&amp;variant=1&amp;length=11&amp;time_control=12&amp;name=34th-season-3c&amp;player=21648</v>
      </c>
      <c r="AA61" s="3" t="s">
        <v>617</v>
      </c>
      <c r="AB61" s="3" t="str">
        <f t="shared" si="11"/>
        <v>invite Turz</v>
      </c>
    </row>
    <row r="62" spans="1:28" x14ac:dyDescent="0.35">
      <c r="B62" s="51" t="str">
        <f>VLOOKUP(J62,Tabelle1!A:B,2,FALSE)</f>
        <v>4a</v>
      </c>
      <c r="C62" s="2">
        <v>34</v>
      </c>
      <c r="D62" s="51" t="s">
        <v>489</v>
      </c>
      <c r="E62" s="11" t="str">
        <f t="shared" si="6"/>
        <v>4a</v>
      </c>
      <c r="I62" s="2" t="s">
        <v>54</v>
      </c>
      <c r="J62" s="3" t="s">
        <v>160</v>
      </c>
      <c r="K62" s="3">
        <v>22416</v>
      </c>
      <c r="L62" s="2" t="s">
        <v>26</v>
      </c>
      <c r="N62" s="3" t="s">
        <v>161</v>
      </c>
      <c r="O62" s="3"/>
      <c r="P62" s="3"/>
      <c r="Q62" s="2" t="s">
        <v>162</v>
      </c>
      <c r="T62" s="2">
        <v>1</v>
      </c>
      <c r="U62" s="2">
        <v>11</v>
      </c>
      <c r="V62" s="2">
        <v>12</v>
      </c>
      <c r="W62" s="1" t="str">
        <f t="shared" si="7"/>
        <v>http://www.dailygammon.com/bg/invite/new?submit=invite&amp;variant=1&amp;length=11&amp;time_control=12&amp;name=</v>
      </c>
      <c r="X62" s="2" t="str">
        <f t="shared" si="8"/>
        <v>34th-season-4a</v>
      </c>
      <c r="Y62" s="12" t="str">
        <f t="shared" si="9"/>
        <v>invite andrgr</v>
      </c>
      <c r="Z62" s="3" t="str">
        <f t="shared" si="10"/>
        <v>http://www.dailygammon.com/bg/invite/new?submit=invite&amp;variant=1&amp;length=11&amp;time_control=12&amp;name=34th-season-4a&amp;player=22416</v>
      </c>
      <c r="AA62" s="3" t="s">
        <v>617</v>
      </c>
      <c r="AB62" s="3" t="str">
        <f t="shared" si="11"/>
        <v>invite andrgr</v>
      </c>
    </row>
    <row r="63" spans="1:28" x14ac:dyDescent="0.35">
      <c r="B63" s="51" t="str">
        <f>VLOOKUP(J63,Tabelle1!A:B,2,FALSE)</f>
        <v>4a</v>
      </c>
      <c r="C63" s="2">
        <v>34</v>
      </c>
      <c r="D63" s="51" t="s">
        <v>489</v>
      </c>
      <c r="E63" s="11" t="str">
        <f t="shared" si="6"/>
        <v>4a</v>
      </c>
      <c r="J63" s="3" t="s">
        <v>343</v>
      </c>
      <c r="K63" s="3">
        <v>532</v>
      </c>
      <c r="L63" s="2" t="s">
        <v>357</v>
      </c>
      <c r="M63" s="2" t="s">
        <v>358</v>
      </c>
      <c r="N63" s="3" t="s">
        <v>360</v>
      </c>
      <c r="O63" s="3"/>
      <c r="P63" s="3"/>
      <c r="Q63" s="2" t="s">
        <v>359</v>
      </c>
      <c r="T63" s="2">
        <v>1</v>
      </c>
      <c r="U63" s="2">
        <v>11</v>
      </c>
      <c r="V63" s="2">
        <v>12</v>
      </c>
      <c r="W63" s="1" t="str">
        <f t="shared" si="7"/>
        <v>http://www.dailygammon.com/bg/invite/new?submit=invite&amp;variant=1&amp;length=11&amp;time_control=12&amp;name=</v>
      </c>
      <c r="X63" s="2" t="str">
        <f t="shared" si="8"/>
        <v>34th-season-4a</v>
      </c>
      <c r="Y63" s="12" t="str">
        <f t="shared" si="9"/>
        <v>invite Beldarren</v>
      </c>
      <c r="Z63" s="3" t="str">
        <f t="shared" si="10"/>
        <v>http://www.dailygammon.com/bg/invite/new?submit=invite&amp;variant=1&amp;length=11&amp;time_control=12&amp;name=34th-season-4a&amp;player=532</v>
      </c>
      <c r="AA63" s="3" t="s">
        <v>617</v>
      </c>
      <c r="AB63" s="3" t="str">
        <f t="shared" si="11"/>
        <v>invite Beldarren</v>
      </c>
    </row>
    <row r="64" spans="1:28" x14ac:dyDescent="0.35">
      <c r="A64" s="2" t="s">
        <v>973</v>
      </c>
      <c r="B64" s="51" t="str">
        <f>VLOOKUP(J64,Tabelle1!A:B,2,FALSE)</f>
        <v>4a</v>
      </c>
      <c r="C64" s="2">
        <v>34</v>
      </c>
      <c r="D64" s="51" t="s">
        <v>489</v>
      </c>
      <c r="E64" s="11" t="str">
        <f t="shared" si="6"/>
        <v>4a</v>
      </c>
      <c r="H64" s="2" t="s">
        <v>54</v>
      </c>
      <c r="I64" s="2" t="s">
        <v>54</v>
      </c>
      <c r="J64" s="3" t="s">
        <v>2</v>
      </c>
      <c r="K64" s="3">
        <v>24760</v>
      </c>
      <c r="L64" s="2" t="s">
        <v>42</v>
      </c>
      <c r="N64" s="3" t="s">
        <v>43</v>
      </c>
      <c r="Q64" s="2" t="s">
        <v>44</v>
      </c>
      <c r="S64" s="2" t="s">
        <v>974</v>
      </c>
      <c r="T64" s="2">
        <v>1</v>
      </c>
      <c r="U64" s="2">
        <v>11</v>
      </c>
      <c r="V64" s="2">
        <v>12</v>
      </c>
      <c r="W64" s="1" t="str">
        <f t="shared" si="7"/>
        <v>http://www.dailygammon.com/bg/invite/new?submit=invite&amp;variant=1&amp;length=11&amp;time_control=12&amp;name=</v>
      </c>
      <c r="X64" s="2" t="str">
        <f t="shared" si="8"/>
        <v>34th-season-4a</v>
      </c>
      <c r="Y64" s="12" t="str">
        <f t="shared" si="9"/>
        <v>invite CaroLinchen</v>
      </c>
      <c r="Z64" s="3" t="str">
        <f t="shared" si="10"/>
        <v>http://www.dailygammon.com/bg/invite/new?submit=invite&amp;variant=1&amp;length=11&amp;time_control=12&amp;name=34th-season-4a&amp;player=24760</v>
      </c>
      <c r="AA64" s="3" t="s">
        <v>617</v>
      </c>
      <c r="AB64" s="3" t="str">
        <f t="shared" si="11"/>
        <v>invite CaroLinchen</v>
      </c>
    </row>
    <row r="65" spans="1:28" x14ac:dyDescent="0.35">
      <c r="B65" s="51" t="str">
        <f>VLOOKUP(J65,Tabelle1!A:B,2,FALSE)</f>
        <v>4a</v>
      </c>
      <c r="C65" s="2">
        <v>34</v>
      </c>
      <c r="D65" s="51" t="s">
        <v>489</v>
      </c>
      <c r="E65" s="11" t="str">
        <f t="shared" si="6"/>
        <v>4a</v>
      </c>
      <c r="H65" s="2" t="s">
        <v>54</v>
      </c>
      <c r="J65" s="3" t="s">
        <v>928</v>
      </c>
      <c r="K65" s="3">
        <v>21950</v>
      </c>
      <c r="N65" s="3" t="s">
        <v>395</v>
      </c>
      <c r="Q65" s="2" t="s">
        <v>396</v>
      </c>
      <c r="T65" s="2">
        <v>1</v>
      </c>
      <c r="U65" s="2">
        <v>11</v>
      </c>
      <c r="V65" s="2">
        <v>12</v>
      </c>
      <c r="W65" s="1" t="str">
        <f t="shared" si="7"/>
        <v>http://www.dailygammon.com/bg/invite/new?submit=invite&amp;variant=1&amp;length=11&amp;time_control=12&amp;name=</v>
      </c>
      <c r="X65" s="2" t="str">
        <f t="shared" si="8"/>
        <v>34th-season-4a</v>
      </c>
      <c r="Y65" s="12" t="str">
        <f t="shared" si="9"/>
        <v>invite coolsuit</v>
      </c>
      <c r="Z65" s="3" t="str">
        <f t="shared" si="10"/>
        <v>http://www.dailygammon.com/bg/invite/new?submit=invite&amp;variant=1&amp;length=11&amp;time_control=12&amp;name=34th-season-4a&amp;player=21950</v>
      </c>
      <c r="AA65" s="3" t="s">
        <v>617</v>
      </c>
      <c r="AB65" s="3" t="str">
        <f t="shared" si="11"/>
        <v>invite coolsuit</v>
      </c>
    </row>
    <row r="66" spans="1:28" x14ac:dyDescent="0.35">
      <c r="B66" s="51" t="str">
        <f>VLOOKUP(J66,Tabelle1!A:B,2,FALSE)</f>
        <v>4a</v>
      </c>
      <c r="C66" s="2">
        <v>34</v>
      </c>
      <c r="D66" s="51" t="s">
        <v>489</v>
      </c>
      <c r="E66" s="11" t="str">
        <f t="shared" ref="E66:E97" si="12">HYPERLINK(C66 &amp; IF(OR(AND(C66&gt;10,C66&lt;20),OR(MOD(C66,10)=0,MOD(C66,10)&gt;3)),"th",CHOOSE(MOD(C66,10),"st","nd","rd")) &amp; "_Backgammon-championships_" &amp; D66 &amp; ".xlsm",D66)</f>
        <v>4a</v>
      </c>
      <c r="H66" s="2" t="s">
        <v>54</v>
      </c>
      <c r="J66" s="3" t="s">
        <v>99</v>
      </c>
      <c r="K66" s="3">
        <v>29269</v>
      </c>
      <c r="L66" s="2" t="s">
        <v>98</v>
      </c>
      <c r="N66" s="3" t="s">
        <v>100</v>
      </c>
      <c r="Q66" s="2" t="s">
        <v>101</v>
      </c>
      <c r="T66" s="2">
        <v>1</v>
      </c>
      <c r="U66" s="2">
        <v>11</v>
      </c>
      <c r="V66" s="2">
        <v>12</v>
      </c>
      <c r="W66" s="1" t="str">
        <f t="shared" ref="W66:W97" si="13">"http://www.dailygammon.com/bg/invite/new?submit=invite&amp;variant=" &amp; T66 &amp; "&amp;length=" &amp; U66 &amp; "&amp;time_control=" &amp; V66 &amp; "&amp;name="</f>
        <v>http://www.dailygammon.com/bg/invite/new?submit=invite&amp;variant=1&amp;length=11&amp;time_control=12&amp;name=</v>
      </c>
      <c r="X66" s="2" t="str">
        <f t="shared" ref="X66:X97" si="14">SUBSTITUTE(IF(C66="","Wrong invitation",C66 &amp; IF(RIGHT(C66,1)="1","st",IF(RIGHT(C66,1)="2","nd",IF(RIGHT(C66,1)="3","rd","th"))) &amp; "-season-" &amp; D66)," ","%20")</f>
        <v>34th-season-4a</v>
      </c>
      <c r="Y66" s="12" t="str">
        <f t="shared" ref="Y66:Y97" si="15">IF(C66="","Wrong invitation",CONCATENATE("invite ",J66))</f>
        <v>invite Darkmavis</v>
      </c>
      <c r="Z66" s="3" t="str">
        <f t="shared" ref="Z66:Z97" si="16">IF(C66="","",HYPERLINK(CONCATENATE(W66,X66,"&amp;player=",K66)))</f>
        <v>http://www.dailygammon.com/bg/invite/new?submit=invite&amp;variant=1&amp;length=11&amp;time_control=12&amp;name=34th-season-4a&amp;player=29269</v>
      </c>
      <c r="AA66" s="3" t="s">
        <v>617</v>
      </c>
      <c r="AB66" s="3" t="str">
        <f t="shared" ref="AB66:AB97" si="17">HYPERLINK(Z66,Y66)</f>
        <v>invite Darkmavis</v>
      </c>
    </row>
    <row r="67" spans="1:28" x14ac:dyDescent="0.35">
      <c r="B67" s="51" t="str">
        <f>VLOOKUP(J67,Tabelle1!A:B,2,FALSE)</f>
        <v>4a</v>
      </c>
      <c r="C67" s="2">
        <v>34</v>
      </c>
      <c r="D67" s="51" t="s">
        <v>489</v>
      </c>
      <c r="E67" s="11" t="str">
        <f t="shared" si="12"/>
        <v>4a</v>
      </c>
      <c r="J67" s="3" t="s">
        <v>214</v>
      </c>
      <c r="K67" s="3">
        <v>13263</v>
      </c>
      <c r="L67" s="2" t="s">
        <v>215</v>
      </c>
      <c r="M67" s="2" t="s">
        <v>216</v>
      </c>
      <c r="N67" s="3" t="s">
        <v>217</v>
      </c>
      <c r="O67" s="3"/>
      <c r="P67" s="3" t="s">
        <v>712</v>
      </c>
      <c r="Q67" s="2" t="s">
        <v>218</v>
      </c>
      <c r="T67" s="2">
        <v>1</v>
      </c>
      <c r="U67" s="2">
        <v>11</v>
      </c>
      <c r="V67" s="2">
        <v>12</v>
      </c>
      <c r="W67" s="1" t="str">
        <f t="shared" si="13"/>
        <v>http://www.dailygammon.com/bg/invite/new?submit=invite&amp;variant=1&amp;length=11&amp;time_control=12&amp;name=</v>
      </c>
      <c r="X67" s="2" t="str">
        <f t="shared" si="14"/>
        <v>34th-season-4a</v>
      </c>
      <c r="Y67" s="12" t="str">
        <f t="shared" si="15"/>
        <v>invite H2O</v>
      </c>
      <c r="Z67" s="3" t="str">
        <f t="shared" si="16"/>
        <v>http://www.dailygammon.com/bg/invite/new?submit=invite&amp;variant=1&amp;length=11&amp;time_control=12&amp;name=34th-season-4a&amp;player=13263</v>
      </c>
      <c r="AA67" s="3" t="s">
        <v>617</v>
      </c>
      <c r="AB67" s="3" t="str">
        <f t="shared" si="17"/>
        <v>invite H2O</v>
      </c>
    </row>
    <row r="68" spans="1:28" x14ac:dyDescent="0.35">
      <c r="B68" s="51" t="str">
        <f>VLOOKUP(J68,Tabelle1!A:B,2,FALSE)</f>
        <v>4a</v>
      </c>
      <c r="C68" s="2">
        <v>34</v>
      </c>
      <c r="D68" s="51" t="s">
        <v>489</v>
      </c>
      <c r="E68" s="11" t="str">
        <f t="shared" si="12"/>
        <v>4a</v>
      </c>
      <c r="H68" s="2" t="s">
        <v>54</v>
      </c>
      <c r="J68" s="3" t="s">
        <v>936</v>
      </c>
      <c r="K68" s="3">
        <v>26739</v>
      </c>
      <c r="L68" s="2" t="s">
        <v>97</v>
      </c>
      <c r="M68" s="2" t="s">
        <v>177</v>
      </c>
      <c r="N68" s="3" t="s">
        <v>176</v>
      </c>
      <c r="O68" s="3"/>
      <c r="P68" s="3"/>
      <c r="T68" s="2">
        <v>1</v>
      </c>
      <c r="U68" s="2">
        <v>11</v>
      </c>
      <c r="V68" s="2">
        <v>12</v>
      </c>
      <c r="W68" s="1" t="str">
        <f t="shared" si="13"/>
        <v>http://www.dailygammon.com/bg/invite/new?submit=invite&amp;variant=1&amp;length=11&amp;time_control=12&amp;name=</v>
      </c>
      <c r="X68" s="2" t="str">
        <f t="shared" si="14"/>
        <v>34th-season-4a</v>
      </c>
      <c r="Y68" s="12" t="str">
        <f t="shared" si="15"/>
        <v>invite Helmut2398</v>
      </c>
      <c r="Z68" s="3" t="str">
        <f t="shared" si="16"/>
        <v>http://www.dailygammon.com/bg/invite/new?submit=invite&amp;variant=1&amp;length=11&amp;time_control=12&amp;name=34th-season-4a&amp;player=26739</v>
      </c>
      <c r="AA68" s="3" t="s">
        <v>617</v>
      </c>
      <c r="AB68" s="3" t="str">
        <f t="shared" si="17"/>
        <v>invite Helmut2398</v>
      </c>
    </row>
    <row r="69" spans="1:28" x14ac:dyDescent="0.35">
      <c r="B69" s="51" t="str">
        <f>VLOOKUP(J69,Tabelle1!A:B,2,FALSE)</f>
        <v>4a</v>
      </c>
      <c r="C69" s="2">
        <v>34</v>
      </c>
      <c r="D69" s="51" t="s">
        <v>489</v>
      </c>
      <c r="E69" s="11" t="str">
        <f t="shared" si="12"/>
        <v>4a</v>
      </c>
      <c r="H69" s="2" t="s">
        <v>54</v>
      </c>
      <c r="J69" s="3" t="s">
        <v>268</v>
      </c>
      <c r="K69" s="3">
        <v>3787</v>
      </c>
      <c r="L69" s="2" t="s">
        <v>299</v>
      </c>
      <c r="M69" s="2" t="s">
        <v>759</v>
      </c>
      <c r="N69" s="3" t="s">
        <v>300</v>
      </c>
      <c r="Q69" s="2" t="s">
        <v>301</v>
      </c>
      <c r="T69" s="2">
        <v>1</v>
      </c>
      <c r="U69" s="2">
        <v>11</v>
      </c>
      <c r="V69" s="2">
        <v>12</v>
      </c>
      <c r="W69" s="1" t="str">
        <f t="shared" si="13"/>
        <v>http://www.dailygammon.com/bg/invite/new?submit=invite&amp;variant=1&amp;length=11&amp;time_control=12&amp;name=</v>
      </c>
      <c r="X69" s="2" t="str">
        <f t="shared" si="14"/>
        <v>34th-season-4a</v>
      </c>
      <c r="Y69" s="12" t="str">
        <f t="shared" si="15"/>
        <v>invite MauiJOY</v>
      </c>
      <c r="Z69" s="3" t="str">
        <f t="shared" si="16"/>
        <v>http://www.dailygammon.com/bg/invite/new?submit=invite&amp;variant=1&amp;length=11&amp;time_control=12&amp;name=34th-season-4a&amp;player=3787</v>
      </c>
      <c r="AA69" s="3" t="s">
        <v>617</v>
      </c>
      <c r="AB69" s="3" t="str">
        <f t="shared" si="17"/>
        <v>invite MauiJOY</v>
      </c>
    </row>
    <row r="70" spans="1:28" x14ac:dyDescent="0.35">
      <c r="B70" s="51" t="str">
        <f>VLOOKUP(J70,Tabelle1!A:B,2,FALSE)</f>
        <v>4a</v>
      </c>
      <c r="C70" s="2">
        <v>34</v>
      </c>
      <c r="D70" s="51" t="s">
        <v>489</v>
      </c>
      <c r="E70" s="11" t="str">
        <f t="shared" si="12"/>
        <v>4a</v>
      </c>
      <c r="J70" s="3" t="s">
        <v>802</v>
      </c>
      <c r="K70" s="3">
        <v>2115</v>
      </c>
      <c r="L70" s="2" t="s">
        <v>146</v>
      </c>
      <c r="M70" s="2" t="s">
        <v>797</v>
      </c>
      <c r="N70" s="3" t="s">
        <v>798</v>
      </c>
      <c r="Q70" s="2" t="s">
        <v>800</v>
      </c>
      <c r="R70" s="2" t="s">
        <v>801</v>
      </c>
      <c r="S70" s="2" t="s">
        <v>799</v>
      </c>
      <c r="T70" s="2">
        <v>1</v>
      </c>
      <c r="U70" s="2">
        <v>11</v>
      </c>
      <c r="V70" s="2">
        <v>12</v>
      </c>
      <c r="W70" s="1" t="str">
        <f t="shared" si="13"/>
        <v>http://www.dailygammon.com/bg/invite/new?submit=invite&amp;variant=1&amp;length=11&amp;time_control=12&amp;name=</v>
      </c>
      <c r="X70" s="2" t="str">
        <f t="shared" si="14"/>
        <v>34th-season-4a</v>
      </c>
      <c r="Y70" s="12" t="str">
        <f t="shared" si="15"/>
        <v>invite Michael Austin</v>
      </c>
      <c r="Z70" s="3" t="str">
        <f t="shared" si="16"/>
        <v>http://www.dailygammon.com/bg/invite/new?submit=invite&amp;variant=1&amp;length=11&amp;time_control=12&amp;name=34th-season-4a&amp;player=2115</v>
      </c>
      <c r="AA70" s="3" t="s">
        <v>617</v>
      </c>
      <c r="AB70" s="3" t="str">
        <f t="shared" si="17"/>
        <v>invite Michael Austin</v>
      </c>
    </row>
    <row r="71" spans="1:28" x14ac:dyDescent="0.35">
      <c r="B71" s="51" t="str">
        <f>VLOOKUP(J71,Tabelle1!A:B,2,FALSE)</f>
        <v>4a</v>
      </c>
      <c r="C71" s="2">
        <v>34</v>
      </c>
      <c r="D71" s="51" t="s">
        <v>489</v>
      </c>
      <c r="E71" s="11" t="str">
        <f t="shared" si="12"/>
        <v>4a</v>
      </c>
      <c r="H71" s="2" t="s">
        <v>54</v>
      </c>
      <c r="J71" s="3" t="s">
        <v>921</v>
      </c>
      <c r="K71" s="3">
        <v>28181</v>
      </c>
      <c r="L71" s="2" t="s">
        <v>70</v>
      </c>
      <c r="M71" s="2" t="s">
        <v>152</v>
      </c>
      <c r="N71" s="3" t="s">
        <v>71</v>
      </c>
      <c r="Q71" s="2" t="s">
        <v>72</v>
      </c>
      <c r="T71" s="2">
        <v>1</v>
      </c>
      <c r="U71" s="2">
        <v>11</v>
      </c>
      <c r="V71" s="2">
        <v>12</v>
      </c>
      <c r="W71" s="1" t="str">
        <f t="shared" si="13"/>
        <v>http://www.dailygammon.com/bg/invite/new?submit=invite&amp;variant=1&amp;length=11&amp;time_control=12&amp;name=</v>
      </c>
      <c r="X71" s="2" t="str">
        <f t="shared" si="14"/>
        <v>34th-season-4a</v>
      </c>
      <c r="Y71" s="12" t="str">
        <f t="shared" si="15"/>
        <v>invite riwa</v>
      </c>
      <c r="Z71" s="3" t="str">
        <f t="shared" si="16"/>
        <v>http://www.dailygammon.com/bg/invite/new?submit=invite&amp;variant=1&amp;length=11&amp;time_control=12&amp;name=34th-season-4a&amp;player=28181</v>
      </c>
      <c r="AA71" s="3" t="s">
        <v>617</v>
      </c>
      <c r="AB71" s="3" t="str">
        <f t="shared" si="17"/>
        <v>invite riwa</v>
      </c>
    </row>
    <row r="72" spans="1:28" x14ac:dyDescent="0.35">
      <c r="A72" s="2" t="s">
        <v>896</v>
      </c>
      <c r="B72" s="51" t="str">
        <f>VLOOKUP(J72,Tabelle1!A:B,2,FALSE)</f>
        <v>4b</v>
      </c>
      <c r="C72" s="2">
        <v>34</v>
      </c>
      <c r="D72" s="51" t="s">
        <v>490</v>
      </c>
      <c r="E72" s="11" t="str">
        <f t="shared" si="12"/>
        <v>4b</v>
      </c>
      <c r="J72" s="37" t="s">
        <v>902</v>
      </c>
      <c r="K72" s="3">
        <v>36610</v>
      </c>
      <c r="L72" s="2" t="s">
        <v>903</v>
      </c>
      <c r="N72" s="1" t="s">
        <v>904</v>
      </c>
      <c r="Q72" s="2" t="s">
        <v>901</v>
      </c>
      <c r="S72" s="2" t="s">
        <v>834</v>
      </c>
      <c r="T72" s="2">
        <v>1</v>
      </c>
      <c r="U72" s="2">
        <v>11</v>
      </c>
      <c r="V72" s="2">
        <v>12</v>
      </c>
      <c r="W72" s="1" t="str">
        <f t="shared" si="13"/>
        <v>http://www.dailygammon.com/bg/invite/new?submit=invite&amp;variant=1&amp;length=11&amp;time_control=12&amp;name=</v>
      </c>
      <c r="X72" s="2" t="str">
        <f t="shared" si="14"/>
        <v>34th-season-4b</v>
      </c>
      <c r="Y72" s="12" t="str">
        <f t="shared" si="15"/>
        <v>invite Acerkatsura</v>
      </c>
      <c r="Z72" s="3" t="str">
        <f t="shared" si="16"/>
        <v>http://www.dailygammon.com/bg/invite/new?submit=invite&amp;variant=1&amp;length=11&amp;time_control=12&amp;name=34th-season-4b&amp;player=36610</v>
      </c>
      <c r="AA72" s="3" t="s">
        <v>617</v>
      </c>
      <c r="AB72" s="3" t="str">
        <f t="shared" si="17"/>
        <v>invite Acerkatsura</v>
      </c>
    </row>
    <row r="73" spans="1:28" x14ac:dyDescent="0.35">
      <c r="A73" s="2" t="s">
        <v>871</v>
      </c>
      <c r="B73" s="51" t="str">
        <f>VLOOKUP(J73,Tabelle1!A:B,2,FALSE)</f>
        <v>4b</v>
      </c>
      <c r="C73" s="2">
        <v>34</v>
      </c>
      <c r="D73" s="51" t="s">
        <v>490</v>
      </c>
      <c r="E73" s="11" t="str">
        <f t="shared" si="12"/>
        <v>4b</v>
      </c>
      <c r="H73" s="2" t="s">
        <v>54</v>
      </c>
      <c r="J73" s="37" t="s">
        <v>872</v>
      </c>
      <c r="K73" s="3">
        <v>40804</v>
      </c>
      <c r="N73" s="3" t="s">
        <v>873</v>
      </c>
      <c r="S73" s="2" t="s">
        <v>875</v>
      </c>
      <c r="T73" s="2">
        <v>1</v>
      </c>
      <c r="U73" s="2">
        <v>11</v>
      </c>
      <c r="V73" s="2">
        <v>12</v>
      </c>
      <c r="W73" s="1" t="str">
        <f t="shared" si="13"/>
        <v>http://www.dailygammon.com/bg/invite/new?submit=invite&amp;variant=1&amp;length=11&amp;time_control=12&amp;name=</v>
      </c>
      <c r="X73" s="2" t="str">
        <f t="shared" si="14"/>
        <v>34th-season-4b</v>
      </c>
      <c r="Y73" s="12" t="str">
        <f t="shared" si="15"/>
        <v>invite backin29</v>
      </c>
      <c r="Z73" s="3" t="str">
        <f t="shared" si="16"/>
        <v>http://www.dailygammon.com/bg/invite/new?submit=invite&amp;variant=1&amp;length=11&amp;time_control=12&amp;name=34th-season-4b&amp;player=40804</v>
      </c>
      <c r="AA73" s="3" t="s">
        <v>617</v>
      </c>
      <c r="AB73" s="3" t="str">
        <f t="shared" si="17"/>
        <v>invite backin29</v>
      </c>
    </row>
    <row r="74" spans="1:28" x14ac:dyDescent="0.35">
      <c r="B74" s="51" t="str">
        <f>VLOOKUP(J74,Tabelle1!A:B,2,FALSE)</f>
        <v>4b</v>
      </c>
      <c r="C74" s="2">
        <v>34</v>
      </c>
      <c r="D74" s="51" t="s">
        <v>490</v>
      </c>
      <c r="E74" s="11" t="str">
        <f t="shared" si="12"/>
        <v>4b</v>
      </c>
      <c r="H74" s="2" t="s">
        <v>54</v>
      </c>
      <c r="I74" s="2" t="s">
        <v>54</v>
      </c>
      <c r="J74" s="3" t="s">
        <v>663</v>
      </c>
      <c r="K74" s="3">
        <v>28804</v>
      </c>
      <c r="L74" s="2" t="s">
        <v>45</v>
      </c>
      <c r="N74" s="3" t="s">
        <v>47</v>
      </c>
      <c r="Q74" s="2" t="s">
        <v>48</v>
      </c>
      <c r="T74" s="2">
        <v>1</v>
      </c>
      <c r="U74" s="2">
        <v>11</v>
      </c>
      <c r="V74" s="2">
        <v>12</v>
      </c>
      <c r="W74" s="1" t="str">
        <f t="shared" si="13"/>
        <v>http://www.dailygammon.com/bg/invite/new?submit=invite&amp;variant=1&amp;length=11&amp;time_control=12&amp;name=</v>
      </c>
      <c r="X74" s="2" t="str">
        <f t="shared" si="14"/>
        <v>34th-season-4b</v>
      </c>
      <c r="Y74" s="12" t="str">
        <f t="shared" si="15"/>
        <v>invite feuillesmortes</v>
      </c>
      <c r="Z74" s="3" t="str">
        <f t="shared" si="16"/>
        <v>http://www.dailygammon.com/bg/invite/new?submit=invite&amp;variant=1&amp;length=11&amp;time_control=12&amp;name=34th-season-4b&amp;player=28804</v>
      </c>
      <c r="AA74" s="3" t="s">
        <v>617</v>
      </c>
      <c r="AB74" s="3" t="str">
        <f t="shared" si="17"/>
        <v>invite feuillesmortes</v>
      </c>
    </row>
    <row r="75" spans="1:28" x14ac:dyDescent="0.35">
      <c r="B75" s="51" t="str">
        <f>VLOOKUP(J75,Tabelle1!A:B,2,FALSE)</f>
        <v>4b</v>
      </c>
      <c r="C75" s="2">
        <v>34</v>
      </c>
      <c r="D75" s="51" t="s">
        <v>490</v>
      </c>
      <c r="E75" s="11" t="str">
        <f t="shared" si="12"/>
        <v>4b</v>
      </c>
      <c r="J75" s="3" t="s">
        <v>30</v>
      </c>
      <c r="K75" s="3">
        <v>12166</v>
      </c>
      <c r="L75" s="2" t="s">
        <v>29</v>
      </c>
      <c r="N75" s="3" t="s">
        <v>31</v>
      </c>
      <c r="Q75" s="2" t="s">
        <v>32</v>
      </c>
      <c r="T75" s="2">
        <v>1</v>
      </c>
      <c r="U75" s="2">
        <v>11</v>
      </c>
      <c r="V75" s="2">
        <v>12</v>
      </c>
      <c r="W75" s="1" t="str">
        <f t="shared" si="13"/>
        <v>http://www.dailygammon.com/bg/invite/new?submit=invite&amp;variant=1&amp;length=11&amp;time_control=12&amp;name=</v>
      </c>
      <c r="X75" s="2" t="str">
        <f t="shared" si="14"/>
        <v>34th-season-4b</v>
      </c>
      <c r="Y75" s="12" t="str">
        <f t="shared" si="15"/>
        <v>invite Freddie Sorensen</v>
      </c>
      <c r="Z75" s="3" t="str">
        <f t="shared" si="16"/>
        <v>http://www.dailygammon.com/bg/invite/new?submit=invite&amp;variant=1&amp;length=11&amp;time_control=12&amp;name=34th-season-4b&amp;player=12166</v>
      </c>
      <c r="AA75" s="3" t="s">
        <v>617</v>
      </c>
      <c r="AB75" s="3" t="str">
        <f t="shared" si="17"/>
        <v>invite Freddie Sorensen</v>
      </c>
    </row>
    <row r="76" spans="1:28" x14ac:dyDescent="0.35">
      <c r="B76" s="51" t="str">
        <f>VLOOKUP(J76,Tabelle1!A:B,2,FALSE)</f>
        <v>4b</v>
      </c>
      <c r="C76" s="2">
        <v>34</v>
      </c>
      <c r="D76" s="51" t="s">
        <v>490</v>
      </c>
      <c r="E76" s="11" t="str">
        <f t="shared" si="12"/>
        <v>4b</v>
      </c>
      <c r="J76" s="3" t="s">
        <v>312</v>
      </c>
      <c r="K76" s="3">
        <v>19453</v>
      </c>
      <c r="L76" s="2" t="s">
        <v>333</v>
      </c>
      <c r="M76" s="2" t="s">
        <v>335</v>
      </c>
      <c r="N76" s="3" t="s">
        <v>334</v>
      </c>
      <c r="O76" s="3"/>
      <c r="P76" s="3"/>
      <c r="Q76" s="2" t="s">
        <v>323</v>
      </c>
      <c r="T76" s="2">
        <v>1</v>
      </c>
      <c r="U76" s="2">
        <v>11</v>
      </c>
      <c r="V76" s="2">
        <v>12</v>
      </c>
      <c r="W76" s="1" t="str">
        <f t="shared" si="13"/>
        <v>http://www.dailygammon.com/bg/invite/new?submit=invite&amp;variant=1&amp;length=11&amp;time_control=12&amp;name=</v>
      </c>
      <c r="X76" s="2" t="str">
        <f t="shared" si="14"/>
        <v>34th-season-4b</v>
      </c>
      <c r="Y76" s="12" t="str">
        <f t="shared" si="15"/>
        <v>invite LeMatelot</v>
      </c>
      <c r="Z76" s="3" t="str">
        <f t="shared" si="16"/>
        <v>http://www.dailygammon.com/bg/invite/new?submit=invite&amp;variant=1&amp;length=11&amp;time_control=12&amp;name=34th-season-4b&amp;player=19453</v>
      </c>
      <c r="AA76" s="3" t="s">
        <v>617</v>
      </c>
      <c r="AB76" s="3" t="str">
        <f t="shared" si="17"/>
        <v>invite LeMatelot</v>
      </c>
    </row>
    <row r="77" spans="1:28" x14ac:dyDescent="0.35">
      <c r="B77" s="51" t="str">
        <f>VLOOKUP(J77,Tabelle1!A:B,2,FALSE)</f>
        <v>4b</v>
      </c>
      <c r="C77" s="2">
        <v>34</v>
      </c>
      <c r="D77" s="51" t="s">
        <v>490</v>
      </c>
      <c r="E77" s="11" t="str">
        <f t="shared" si="12"/>
        <v>4b</v>
      </c>
      <c r="J77" s="3" t="s">
        <v>923</v>
      </c>
      <c r="K77" s="3">
        <v>3678</v>
      </c>
      <c r="L77" s="2" t="s">
        <v>73</v>
      </c>
      <c r="M77" s="2" t="s">
        <v>942</v>
      </c>
      <c r="N77" s="3" t="s">
        <v>943</v>
      </c>
      <c r="O77" s="3" t="s">
        <v>74</v>
      </c>
      <c r="Q77" s="2" t="s">
        <v>35</v>
      </c>
      <c r="S77" s="2" t="s">
        <v>944</v>
      </c>
      <c r="T77" s="2">
        <v>1</v>
      </c>
      <c r="U77" s="2">
        <v>11</v>
      </c>
      <c r="V77" s="2">
        <v>12</v>
      </c>
      <c r="W77" s="1" t="str">
        <f t="shared" si="13"/>
        <v>http://www.dailygammon.com/bg/invite/new?submit=invite&amp;variant=1&amp;length=11&amp;time_control=12&amp;name=</v>
      </c>
      <c r="X77" s="2" t="str">
        <f t="shared" si="14"/>
        <v>34th-season-4b</v>
      </c>
      <c r="Y77" s="12" t="str">
        <f t="shared" si="15"/>
        <v>invite mors</v>
      </c>
      <c r="Z77" s="3" t="str">
        <f t="shared" si="16"/>
        <v>http://www.dailygammon.com/bg/invite/new?submit=invite&amp;variant=1&amp;length=11&amp;time_control=12&amp;name=34th-season-4b&amp;player=3678</v>
      </c>
      <c r="AA77" s="3" t="s">
        <v>617</v>
      </c>
      <c r="AB77" s="3" t="str">
        <f t="shared" si="17"/>
        <v>invite mors</v>
      </c>
    </row>
    <row r="78" spans="1:28" x14ac:dyDescent="0.35">
      <c r="B78" s="51" t="str">
        <f>VLOOKUP(J78,Tabelle1!A:B,2,FALSE)</f>
        <v>4b</v>
      </c>
      <c r="C78" s="2">
        <v>34</v>
      </c>
      <c r="D78" s="51" t="s">
        <v>490</v>
      </c>
      <c r="E78" s="11" t="str">
        <f t="shared" si="12"/>
        <v>4b</v>
      </c>
      <c r="H78" s="2" t="s">
        <v>54</v>
      </c>
      <c r="J78" s="3" t="s">
        <v>264</v>
      </c>
      <c r="K78" s="3">
        <v>19680</v>
      </c>
      <c r="L78" s="2" t="s">
        <v>281</v>
      </c>
      <c r="M78" s="2" t="s">
        <v>282</v>
      </c>
      <c r="N78" s="3" t="s">
        <v>371</v>
      </c>
      <c r="Q78" s="2" t="s">
        <v>272</v>
      </c>
      <c r="T78" s="2">
        <v>1</v>
      </c>
      <c r="U78" s="2">
        <v>11</v>
      </c>
      <c r="V78" s="2">
        <v>12</v>
      </c>
      <c r="W78" s="1" t="str">
        <f t="shared" si="13"/>
        <v>http://www.dailygammon.com/bg/invite/new?submit=invite&amp;variant=1&amp;length=11&amp;time_control=12&amp;name=</v>
      </c>
      <c r="X78" s="2" t="str">
        <f t="shared" si="14"/>
        <v>34th-season-4b</v>
      </c>
      <c r="Y78" s="12" t="str">
        <f t="shared" si="15"/>
        <v>invite pentax</v>
      </c>
      <c r="Z78" s="3" t="str">
        <f t="shared" si="16"/>
        <v>http://www.dailygammon.com/bg/invite/new?submit=invite&amp;variant=1&amp;length=11&amp;time_control=12&amp;name=34th-season-4b&amp;player=19680</v>
      </c>
      <c r="AA78" s="3" t="s">
        <v>617</v>
      </c>
      <c r="AB78" s="3" t="str">
        <f t="shared" si="17"/>
        <v>invite pentax</v>
      </c>
    </row>
    <row r="79" spans="1:28" x14ac:dyDescent="0.35">
      <c r="B79" s="51" t="str">
        <f>VLOOKUP(J79,Tabelle1!A:B,2,FALSE)</f>
        <v>4b</v>
      </c>
      <c r="C79" s="2">
        <v>34</v>
      </c>
      <c r="D79" s="51" t="s">
        <v>490</v>
      </c>
      <c r="E79" s="11" t="str">
        <f t="shared" si="12"/>
        <v>4b</v>
      </c>
      <c r="H79" s="2" t="s">
        <v>54</v>
      </c>
      <c r="J79" s="3" t="s">
        <v>931</v>
      </c>
      <c r="K79" s="3">
        <v>4692</v>
      </c>
      <c r="L79" t="s">
        <v>444</v>
      </c>
      <c r="N79" s="3" t="s">
        <v>452</v>
      </c>
      <c r="Q79" t="s">
        <v>443</v>
      </c>
      <c r="R79"/>
      <c r="T79" s="2">
        <v>1</v>
      </c>
      <c r="U79" s="2">
        <v>11</v>
      </c>
      <c r="V79" s="2">
        <v>12</v>
      </c>
      <c r="W79" s="1" t="str">
        <f t="shared" si="13"/>
        <v>http://www.dailygammon.com/bg/invite/new?submit=invite&amp;variant=1&amp;length=11&amp;time_control=12&amp;name=</v>
      </c>
      <c r="X79" s="2" t="str">
        <f t="shared" si="14"/>
        <v>34th-season-4b</v>
      </c>
      <c r="Y79" s="12" t="str">
        <f t="shared" si="15"/>
        <v>invite prado</v>
      </c>
      <c r="Z79" s="3" t="str">
        <f t="shared" si="16"/>
        <v>http://www.dailygammon.com/bg/invite/new?submit=invite&amp;variant=1&amp;length=11&amp;time_control=12&amp;name=34th-season-4b&amp;player=4692</v>
      </c>
      <c r="AA79" s="3" t="s">
        <v>617</v>
      </c>
      <c r="AB79" s="3" t="str">
        <f t="shared" si="17"/>
        <v>invite prado</v>
      </c>
    </row>
    <row r="80" spans="1:28" x14ac:dyDescent="0.35">
      <c r="B80" s="51" t="str">
        <f>VLOOKUP(J80,Tabelle1!A:B,2,FALSE)</f>
        <v>4b</v>
      </c>
      <c r="C80" s="2">
        <v>34</v>
      </c>
      <c r="D80" s="51" t="s">
        <v>490</v>
      </c>
      <c r="E80" s="11" t="str">
        <f t="shared" si="12"/>
        <v>4b</v>
      </c>
      <c r="H80" s="2" t="s">
        <v>54</v>
      </c>
      <c r="J80" s="3" t="s">
        <v>929</v>
      </c>
      <c r="K80" s="3">
        <v>7768</v>
      </c>
      <c r="L80" s="2" t="s">
        <v>33</v>
      </c>
      <c r="N80" s="3" t="s">
        <v>34</v>
      </c>
      <c r="O80" s="3"/>
      <c r="P80" s="3"/>
      <c r="Q80" s="2" t="s">
        <v>35</v>
      </c>
      <c r="T80" s="2">
        <v>1</v>
      </c>
      <c r="U80" s="2">
        <v>11</v>
      </c>
      <c r="V80" s="2">
        <v>12</v>
      </c>
      <c r="W80" s="1" t="str">
        <f t="shared" si="13"/>
        <v>http://www.dailygammon.com/bg/invite/new?submit=invite&amp;variant=1&amp;length=11&amp;time_control=12&amp;name=</v>
      </c>
      <c r="X80" s="2" t="str">
        <f t="shared" si="14"/>
        <v>34th-season-4b</v>
      </c>
      <c r="Y80" s="12" t="str">
        <f t="shared" si="15"/>
        <v>invite sun</v>
      </c>
      <c r="Z80" s="3" t="str">
        <f t="shared" si="16"/>
        <v>http://www.dailygammon.com/bg/invite/new?submit=invite&amp;variant=1&amp;length=11&amp;time_control=12&amp;name=34th-season-4b&amp;player=7768</v>
      </c>
      <c r="AA80" s="3" t="s">
        <v>617</v>
      </c>
      <c r="AB80" s="3" t="str">
        <f t="shared" si="17"/>
        <v>invite sun</v>
      </c>
    </row>
    <row r="81" spans="1:28" x14ac:dyDescent="0.35">
      <c r="B81" s="51" t="str">
        <f>VLOOKUP(J81,Tabelle1!A:B,2,FALSE)</f>
        <v>4b</v>
      </c>
      <c r="C81" s="2">
        <v>34</v>
      </c>
      <c r="D81" s="51" t="s">
        <v>490</v>
      </c>
      <c r="E81" s="11" t="str">
        <f t="shared" si="12"/>
        <v>4b</v>
      </c>
      <c r="H81" s="2" t="s">
        <v>54</v>
      </c>
      <c r="J81" s="3" t="s">
        <v>822</v>
      </c>
      <c r="K81" s="3">
        <v>1236</v>
      </c>
      <c r="L81" s="2" t="s">
        <v>820</v>
      </c>
      <c r="N81" s="3" t="s">
        <v>821</v>
      </c>
      <c r="Q81" s="2" t="s">
        <v>819</v>
      </c>
      <c r="S81" s="2" t="s">
        <v>818</v>
      </c>
      <c r="T81" s="2">
        <v>1</v>
      </c>
      <c r="U81" s="2">
        <v>11</v>
      </c>
      <c r="V81" s="2">
        <v>12</v>
      </c>
      <c r="W81" s="1" t="str">
        <f t="shared" si="13"/>
        <v>http://www.dailygammon.com/bg/invite/new?submit=invite&amp;variant=1&amp;length=11&amp;time_control=12&amp;name=</v>
      </c>
      <c r="X81" s="2" t="str">
        <f t="shared" si="14"/>
        <v>34th-season-4b</v>
      </c>
      <c r="Y81" s="12" t="str">
        <f t="shared" si="15"/>
        <v>invite TraceRacing</v>
      </c>
      <c r="Z81" s="3" t="str">
        <f t="shared" si="16"/>
        <v>http://www.dailygammon.com/bg/invite/new?submit=invite&amp;variant=1&amp;length=11&amp;time_control=12&amp;name=34th-season-4b&amp;player=1236</v>
      </c>
      <c r="AA81" s="3" t="s">
        <v>617</v>
      </c>
      <c r="AB81" s="3" t="str">
        <f t="shared" si="17"/>
        <v>invite TraceRacing</v>
      </c>
    </row>
    <row r="82" spans="1:28" x14ac:dyDescent="0.35">
      <c r="B82" s="51" t="str">
        <f>VLOOKUP(J82,Tabelle1!A:B,2,FALSE)</f>
        <v>4c</v>
      </c>
      <c r="C82" s="2">
        <v>34</v>
      </c>
      <c r="D82" s="51" t="s">
        <v>735</v>
      </c>
      <c r="E82" s="11" t="str">
        <f t="shared" si="12"/>
        <v>4c</v>
      </c>
      <c r="H82" s="2" t="s">
        <v>54</v>
      </c>
      <c r="J82" s="3" t="s">
        <v>105</v>
      </c>
      <c r="K82" s="3">
        <v>32667</v>
      </c>
      <c r="L82" s="2" t="s">
        <v>104</v>
      </c>
      <c r="N82" s="3" t="s">
        <v>106</v>
      </c>
      <c r="Q82" s="2" t="s">
        <v>107</v>
      </c>
      <c r="R82" s="22" t="s">
        <v>682</v>
      </c>
      <c r="T82" s="2">
        <v>1</v>
      </c>
      <c r="U82" s="2">
        <v>11</v>
      </c>
      <c r="V82" s="2">
        <v>12</v>
      </c>
      <c r="W82" s="1" t="str">
        <f t="shared" si="13"/>
        <v>http://www.dailygammon.com/bg/invite/new?submit=invite&amp;variant=1&amp;length=11&amp;time_control=12&amp;name=</v>
      </c>
      <c r="X82" s="2" t="str">
        <f t="shared" si="14"/>
        <v>34th-season-4c</v>
      </c>
      <c r="Y82" s="12" t="str">
        <f t="shared" si="15"/>
        <v>invite 2yellow4u</v>
      </c>
      <c r="Z82" s="3" t="str">
        <f t="shared" si="16"/>
        <v>http://www.dailygammon.com/bg/invite/new?submit=invite&amp;variant=1&amp;length=11&amp;time_control=12&amp;name=34th-season-4c&amp;player=32667</v>
      </c>
      <c r="AA82" s="3" t="s">
        <v>617</v>
      </c>
      <c r="AB82" s="3" t="str">
        <f t="shared" si="17"/>
        <v>invite 2yellow4u</v>
      </c>
    </row>
    <row r="83" spans="1:28" ht="29" x14ac:dyDescent="0.35">
      <c r="A83" s="2" t="s">
        <v>945</v>
      </c>
      <c r="B83" s="51" t="str">
        <f>VLOOKUP(J83,Tabelle1!A:B,2,FALSE)</f>
        <v>4c</v>
      </c>
      <c r="C83" s="2">
        <v>34</v>
      </c>
      <c r="D83" s="51" t="s">
        <v>735</v>
      </c>
      <c r="E83" s="11" t="str">
        <f t="shared" si="12"/>
        <v>4c</v>
      </c>
      <c r="H83" s="2" t="s">
        <v>54</v>
      </c>
      <c r="J83" s="37" t="s">
        <v>952</v>
      </c>
      <c r="K83" s="3">
        <v>225</v>
      </c>
      <c r="N83" s="1" t="s">
        <v>953</v>
      </c>
      <c r="Q83" s="2" t="s">
        <v>954</v>
      </c>
      <c r="S83" s="4" t="s">
        <v>968</v>
      </c>
      <c r="T83" s="2">
        <v>1</v>
      </c>
      <c r="U83" s="2">
        <v>11</v>
      </c>
      <c r="V83" s="2">
        <v>12</v>
      </c>
      <c r="W83" s="1" t="str">
        <f t="shared" si="13"/>
        <v>http://www.dailygammon.com/bg/invite/new?submit=invite&amp;variant=1&amp;length=11&amp;time_control=12&amp;name=</v>
      </c>
      <c r="X83" s="2" t="str">
        <f t="shared" si="14"/>
        <v>34th-season-4c</v>
      </c>
      <c r="Y83" s="12" t="str">
        <f t="shared" si="15"/>
        <v>invite aeons</v>
      </c>
      <c r="Z83" s="3" t="str">
        <f t="shared" si="16"/>
        <v>http://www.dailygammon.com/bg/invite/new?submit=invite&amp;variant=1&amp;length=11&amp;time_control=12&amp;name=34th-season-4c&amp;player=225</v>
      </c>
      <c r="AA83" s="3" t="s">
        <v>617</v>
      </c>
      <c r="AB83" s="3" t="str">
        <f t="shared" si="17"/>
        <v>invite aeons</v>
      </c>
    </row>
    <row r="84" spans="1:28" x14ac:dyDescent="0.35">
      <c r="B84" s="51" t="str">
        <f>VLOOKUP(J84,Tabelle1!A:B,2,FALSE)</f>
        <v>4c</v>
      </c>
      <c r="C84" s="2">
        <v>34</v>
      </c>
      <c r="D84" s="51" t="s">
        <v>735</v>
      </c>
      <c r="E84" s="11" t="str">
        <f t="shared" si="12"/>
        <v>4c</v>
      </c>
      <c r="J84" s="3" t="s">
        <v>254</v>
      </c>
      <c r="K84" s="3">
        <v>25765</v>
      </c>
      <c r="L84" s="2" t="s">
        <v>253</v>
      </c>
      <c r="N84" s="3" t="s">
        <v>255</v>
      </c>
      <c r="Q84" s="2" t="s">
        <v>256</v>
      </c>
      <c r="S84" s="2" t="s">
        <v>762</v>
      </c>
      <c r="T84" s="2">
        <v>1</v>
      </c>
      <c r="U84" s="2">
        <v>11</v>
      </c>
      <c r="V84" s="2">
        <v>12</v>
      </c>
      <c r="W84" s="1" t="str">
        <f t="shared" si="13"/>
        <v>http://www.dailygammon.com/bg/invite/new?submit=invite&amp;variant=1&amp;length=11&amp;time_control=12&amp;name=</v>
      </c>
      <c r="X84" s="2" t="str">
        <f t="shared" si="14"/>
        <v>34th-season-4c</v>
      </c>
      <c r="Y84" s="12" t="str">
        <f t="shared" si="15"/>
        <v>invite Ankou</v>
      </c>
      <c r="Z84" s="3" t="str">
        <f t="shared" si="16"/>
        <v>http://www.dailygammon.com/bg/invite/new?submit=invite&amp;variant=1&amp;length=11&amp;time_control=12&amp;name=34th-season-4c&amp;player=25765</v>
      </c>
      <c r="AA84" s="3" t="s">
        <v>617</v>
      </c>
      <c r="AB84" s="3" t="str">
        <f t="shared" si="17"/>
        <v>invite Ankou</v>
      </c>
    </row>
    <row r="85" spans="1:28" x14ac:dyDescent="0.35">
      <c r="A85" s="2" t="s">
        <v>871</v>
      </c>
      <c r="B85" s="51" t="str">
        <f>VLOOKUP(J85,Tabelle1!A:B,2,FALSE)</f>
        <v>4c</v>
      </c>
      <c r="C85" s="2">
        <v>34</v>
      </c>
      <c r="D85" s="51" t="s">
        <v>735</v>
      </c>
      <c r="E85" s="11" t="str">
        <f t="shared" si="12"/>
        <v>4c</v>
      </c>
      <c r="J85" s="37" t="s">
        <v>882</v>
      </c>
      <c r="K85" s="3">
        <v>13175</v>
      </c>
      <c r="L85" s="2" t="s">
        <v>879</v>
      </c>
      <c r="N85" s="3" t="s">
        <v>883</v>
      </c>
      <c r="Q85" s="2" t="s">
        <v>880</v>
      </c>
      <c r="S85" s="2" t="s">
        <v>834</v>
      </c>
      <c r="T85" s="2">
        <v>1</v>
      </c>
      <c r="U85" s="2">
        <v>11</v>
      </c>
      <c r="V85" s="2">
        <v>12</v>
      </c>
      <c r="W85" s="1" t="str">
        <f t="shared" si="13"/>
        <v>http://www.dailygammon.com/bg/invite/new?submit=invite&amp;variant=1&amp;length=11&amp;time_control=12&amp;name=</v>
      </c>
      <c r="X85" s="2" t="str">
        <f t="shared" si="14"/>
        <v>34th-season-4c</v>
      </c>
      <c r="Y85" s="12" t="str">
        <f t="shared" si="15"/>
        <v>invite bloodaxe</v>
      </c>
      <c r="Z85" s="3" t="str">
        <f t="shared" si="16"/>
        <v>http://www.dailygammon.com/bg/invite/new?submit=invite&amp;variant=1&amp;length=11&amp;time_control=12&amp;name=34th-season-4c&amp;player=13175</v>
      </c>
      <c r="AA85" s="3" t="s">
        <v>617</v>
      </c>
      <c r="AB85" s="3" t="str">
        <f t="shared" si="17"/>
        <v>invite bloodaxe</v>
      </c>
    </row>
    <row r="86" spans="1:28" x14ac:dyDescent="0.35">
      <c r="B86" s="51" t="str">
        <f>VLOOKUP(J86,Tabelle1!A:B,2,FALSE)</f>
        <v>4c</v>
      </c>
      <c r="C86" s="2">
        <v>34</v>
      </c>
      <c r="D86" s="51" t="s">
        <v>735</v>
      </c>
      <c r="E86" s="11" t="str">
        <f t="shared" si="12"/>
        <v>4c</v>
      </c>
      <c r="J86" s="11" t="s">
        <v>530</v>
      </c>
      <c r="K86" s="3">
        <v>21200</v>
      </c>
      <c r="L86" s="2" t="s">
        <v>531</v>
      </c>
      <c r="N86" s="3" t="s">
        <v>532</v>
      </c>
      <c r="Q86" s="2" t="s">
        <v>955</v>
      </c>
      <c r="S86" s="2" t="s">
        <v>537</v>
      </c>
      <c r="T86" s="2">
        <v>1</v>
      </c>
      <c r="U86" s="2">
        <v>11</v>
      </c>
      <c r="V86" s="2">
        <v>12</v>
      </c>
      <c r="W86" s="1" t="str">
        <f t="shared" si="13"/>
        <v>http://www.dailygammon.com/bg/invite/new?submit=invite&amp;variant=1&amp;length=11&amp;time_control=12&amp;name=</v>
      </c>
      <c r="X86" s="2" t="str">
        <f t="shared" si="14"/>
        <v>34th-season-4c</v>
      </c>
      <c r="Y86" s="12" t="str">
        <f t="shared" si="15"/>
        <v>invite Captain Jack Sparrow</v>
      </c>
      <c r="Z86" s="3" t="str">
        <f t="shared" si="16"/>
        <v>http://www.dailygammon.com/bg/invite/new?submit=invite&amp;variant=1&amp;length=11&amp;time_control=12&amp;name=34th-season-4c&amp;player=21200</v>
      </c>
      <c r="AA86" s="3" t="s">
        <v>617</v>
      </c>
      <c r="AB86" s="3" t="str">
        <f t="shared" si="17"/>
        <v>invite Captain Jack Sparrow</v>
      </c>
    </row>
    <row r="87" spans="1:28" ht="29" x14ac:dyDescent="0.35">
      <c r="A87" s="2" t="s">
        <v>945</v>
      </c>
      <c r="B87" s="51" t="str">
        <f>VLOOKUP(J87,Tabelle1!A:B,2,FALSE)</f>
        <v>4c</v>
      </c>
      <c r="C87" s="2">
        <v>34</v>
      </c>
      <c r="D87" s="51" t="s">
        <v>735</v>
      </c>
      <c r="E87" s="11" t="str">
        <f t="shared" si="12"/>
        <v>4c</v>
      </c>
      <c r="H87" s="2" t="s">
        <v>54</v>
      </c>
      <c r="J87" s="37" t="s">
        <v>948</v>
      </c>
      <c r="K87" s="3">
        <v>41626</v>
      </c>
      <c r="L87" s="2" t="s">
        <v>946</v>
      </c>
      <c r="N87" s="1" t="s">
        <v>947</v>
      </c>
      <c r="Q87" s="2" t="s">
        <v>597</v>
      </c>
      <c r="S87" s="4" t="s">
        <v>967</v>
      </c>
      <c r="T87" s="2">
        <v>1</v>
      </c>
      <c r="U87" s="2">
        <v>11</v>
      </c>
      <c r="V87" s="2">
        <v>12</v>
      </c>
      <c r="W87" s="1" t="str">
        <f t="shared" si="13"/>
        <v>http://www.dailygammon.com/bg/invite/new?submit=invite&amp;variant=1&amp;length=11&amp;time_control=12&amp;name=</v>
      </c>
      <c r="X87" s="2" t="str">
        <f t="shared" si="14"/>
        <v>34th-season-4c</v>
      </c>
      <c r="Y87" s="12" t="str">
        <f t="shared" si="15"/>
        <v>invite Chapsy</v>
      </c>
      <c r="Z87" s="3" t="str">
        <f t="shared" si="16"/>
        <v>http://www.dailygammon.com/bg/invite/new?submit=invite&amp;variant=1&amp;length=11&amp;time_control=12&amp;name=34th-season-4c&amp;player=41626</v>
      </c>
      <c r="AA87" s="3" t="s">
        <v>617</v>
      </c>
      <c r="AB87" s="3" t="str">
        <f t="shared" si="17"/>
        <v>invite Chapsy</v>
      </c>
    </row>
    <row r="88" spans="1:28" x14ac:dyDescent="0.35">
      <c r="B88" s="51" t="str">
        <f>VLOOKUP(J88,Tabelle1!A:B,2,FALSE)</f>
        <v>4c</v>
      </c>
      <c r="C88" s="2">
        <v>34</v>
      </c>
      <c r="D88" s="51" t="s">
        <v>735</v>
      </c>
      <c r="E88" s="11" t="str">
        <f t="shared" si="12"/>
        <v>4c</v>
      </c>
      <c r="H88" s="2" t="s">
        <v>54</v>
      </c>
      <c r="J88" s="3" t="s">
        <v>391</v>
      </c>
      <c r="K88" s="3">
        <v>29852</v>
      </c>
      <c r="L88" s="2" t="s">
        <v>392</v>
      </c>
      <c r="N88" s="3" t="s">
        <v>389</v>
      </c>
      <c r="Q88" s="2" t="s">
        <v>393</v>
      </c>
      <c r="S88" s="2" t="s">
        <v>390</v>
      </c>
      <c r="T88" s="2">
        <v>1</v>
      </c>
      <c r="U88" s="2">
        <v>11</v>
      </c>
      <c r="V88" s="2">
        <v>12</v>
      </c>
      <c r="W88" s="1" t="str">
        <f t="shared" si="13"/>
        <v>http://www.dailygammon.com/bg/invite/new?submit=invite&amp;variant=1&amp;length=11&amp;time_control=12&amp;name=</v>
      </c>
      <c r="X88" s="2" t="str">
        <f t="shared" si="14"/>
        <v>34th-season-4c</v>
      </c>
      <c r="Y88" s="12" t="str">
        <f t="shared" si="15"/>
        <v>invite cornishgal</v>
      </c>
      <c r="Z88" s="3" t="str">
        <f t="shared" si="16"/>
        <v>http://www.dailygammon.com/bg/invite/new?submit=invite&amp;variant=1&amp;length=11&amp;time_control=12&amp;name=34th-season-4c&amp;player=29852</v>
      </c>
      <c r="AA88" s="3" t="s">
        <v>617</v>
      </c>
      <c r="AB88" s="3" t="str">
        <f t="shared" si="17"/>
        <v>invite cornishgal</v>
      </c>
    </row>
    <row r="89" spans="1:28" x14ac:dyDescent="0.35">
      <c r="B89" s="51" t="str">
        <f>VLOOKUP(J89,Tabelle1!A:B,2,FALSE)</f>
        <v>4c</v>
      </c>
      <c r="C89" s="2">
        <v>34</v>
      </c>
      <c r="D89" s="51" t="s">
        <v>735</v>
      </c>
      <c r="E89" s="11" t="str">
        <f t="shared" si="12"/>
        <v>4c</v>
      </c>
      <c r="H89" s="2" t="s">
        <v>54</v>
      </c>
      <c r="J89" s="3" t="s">
        <v>416</v>
      </c>
      <c r="K89" s="3">
        <v>37219</v>
      </c>
      <c r="L89" s="2" t="s">
        <v>281</v>
      </c>
      <c r="N89" s="3" t="s">
        <v>428</v>
      </c>
      <c r="O89" s="3"/>
      <c r="P89" s="3"/>
      <c r="T89" s="2">
        <v>1</v>
      </c>
      <c r="U89" s="2">
        <v>11</v>
      </c>
      <c r="V89" s="2">
        <v>12</v>
      </c>
      <c r="W89" s="1" t="str">
        <f t="shared" si="13"/>
        <v>http://www.dailygammon.com/bg/invite/new?submit=invite&amp;variant=1&amp;length=11&amp;time_control=12&amp;name=</v>
      </c>
      <c r="X89" s="2" t="str">
        <f t="shared" si="14"/>
        <v>34th-season-4c</v>
      </c>
      <c r="Y89" s="12" t="str">
        <f t="shared" si="15"/>
        <v>invite fokker</v>
      </c>
      <c r="Z89" s="3" t="str">
        <f t="shared" si="16"/>
        <v>http://www.dailygammon.com/bg/invite/new?submit=invite&amp;variant=1&amp;length=11&amp;time_control=12&amp;name=34th-season-4c&amp;player=37219</v>
      </c>
      <c r="AA89" s="3" t="s">
        <v>617</v>
      </c>
      <c r="AB89" s="3" t="str">
        <f t="shared" si="17"/>
        <v>invite fokker</v>
      </c>
    </row>
    <row r="90" spans="1:28" x14ac:dyDescent="0.35">
      <c r="B90" s="51" t="str">
        <f>VLOOKUP(J90,Tabelle1!A:B,2,FALSE)</f>
        <v>4c</v>
      </c>
      <c r="C90" s="2">
        <v>34</v>
      </c>
      <c r="D90" s="51" t="s">
        <v>735</v>
      </c>
      <c r="E90" s="11" t="str">
        <f t="shared" si="12"/>
        <v>4c</v>
      </c>
      <c r="J90" s="3" t="s">
        <v>536</v>
      </c>
      <c r="K90" s="3">
        <v>33394</v>
      </c>
      <c r="L90" s="2" t="s">
        <v>514</v>
      </c>
      <c r="N90" s="3" t="s">
        <v>535</v>
      </c>
      <c r="Q90" s="2" t="s">
        <v>515</v>
      </c>
      <c r="S90" s="2" t="s">
        <v>611</v>
      </c>
      <c r="T90" s="2">
        <v>1</v>
      </c>
      <c r="U90" s="2">
        <v>11</v>
      </c>
      <c r="V90" s="2">
        <v>12</v>
      </c>
      <c r="W90" s="1" t="str">
        <f t="shared" si="13"/>
        <v>http://www.dailygammon.com/bg/invite/new?submit=invite&amp;variant=1&amp;length=11&amp;time_control=12&amp;name=</v>
      </c>
      <c r="X90" s="2" t="str">
        <f t="shared" si="14"/>
        <v>34th-season-4c</v>
      </c>
      <c r="Y90" s="12" t="str">
        <f t="shared" si="15"/>
        <v>invite jerbear29</v>
      </c>
      <c r="Z90" s="3" t="str">
        <f t="shared" si="16"/>
        <v>http://www.dailygammon.com/bg/invite/new?submit=invite&amp;variant=1&amp;length=11&amp;time_control=12&amp;name=34th-season-4c&amp;player=33394</v>
      </c>
      <c r="AA90" s="3" t="s">
        <v>617</v>
      </c>
      <c r="AB90" s="3" t="str">
        <f t="shared" si="17"/>
        <v>invite jerbear29</v>
      </c>
    </row>
    <row r="91" spans="1:28" x14ac:dyDescent="0.35">
      <c r="B91" s="51" t="str">
        <f>VLOOKUP(J91,Tabelle1!A:B,2,FALSE)</f>
        <v>4c</v>
      </c>
      <c r="C91" s="2">
        <v>34</v>
      </c>
      <c r="D91" s="51" t="s">
        <v>735</v>
      </c>
      <c r="E91" s="11" t="str">
        <f t="shared" si="12"/>
        <v>4c</v>
      </c>
      <c r="J91" s="3" t="s">
        <v>170</v>
      </c>
      <c r="K91" s="3">
        <v>32684</v>
      </c>
      <c r="L91" s="2" t="s">
        <v>55</v>
      </c>
      <c r="N91" s="3" t="s">
        <v>169</v>
      </c>
      <c r="O91" s="3"/>
      <c r="P91" s="3"/>
      <c r="T91" s="2">
        <v>1</v>
      </c>
      <c r="U91" s="2">
        <v>11</v>
      </c>
      <c r="V91" s="2">
        <v>12</v>
      </c>
      <c r="W91" s="1" t="str">
        <f t="shared" si="13"/>
        <v>http://www.dailygammon.com/bg/invite/new?submit=invite&amp;variant=1&amp;length=11&amp;time_control=12&amp;name=</v>
      </c>
      <c r="X91" s="2" t="str">
        <f t="shared" si="14"/>
        <v>34th-season-4c</v>
      </c>
      <c r="Y91" s="12" t="str">
        <f t="shared" si="15"/>
        <v>invite PiT</v>
      </c>
      <c r="Z91" s="3" t="str">
        <f t="shared" si="16"/>
        <v>http://www.dailygammon.com/bg/invite/new?submit=invite&amp;variant=1&amp;length=11&amp;time_control=12&amp;name=34th-season-4c&amp;player=32684</v>
      </c>
      <c r="AA91" s="3" t="s">
        <v>617</v>
      </c>
      <c r="AB91" s="3" t="str">
        <f t="shared" si="17"/>
        <v>invite PiT</v>
      </c>
    </row>
    <row r="92" spans="1:28" x14ac:dyDescent="0.35">
      <c r="B92" s="51" t="str">
        <f>VLOOKUP(J92,Tabelle1!A:B,2,FALSE)</f>
        <v>4d</v>
      </c>
      <c r="C92" s="2">
        <v>34</v>
      </c>
      <c r="D92" s="51" t="s">
        <v>736</v>
      </c>
      <c r="E92" s="11" t="str">
        <f t="shared" si="12"/>
        <v>4d</v>
      </c>
      <c r="J92" s="3" t="s">
        <v>324</v>
      </c>
      <c r="K92" s="3">
        <v>35610</v>
      </c>
      <c r="L92" s="2" t="s">
        <v>327</v>
      </c>
      <c r="N92" s="3" t="s">
        <v>325</v>
      </c>
      <c r="O92" s="3"/>
      <c r="P92" s="3"/>
      <c r="Q92" s="2" t="s">
        <v>326</v>
      </c>
      <c r="T92" s="2">
        <v>1</v>
      </c>
      <c r="U92" s="2">
        <v>11</v>
      </c>
      <c r="V92" s="2">
        <v>12</v>
      </c>
      <c r="W92" s="1" t="str">
        <f t="shared" si="13"/>
        <v>http://www.dailygammon.com/bg/invite/new?submit=invite&amp;variant=1&amp;length=11&amp;time_control=12&amp;name=</v>
      </c>
      <c r="X92" s="2" t="str">
        <f t="shared" si="14"/>
        <v>34th-season-4d</v>
      </c>
      <c r="Y92" s="12" t="str">
        <f t="shared" si="15"/>
        <v>invite Alex H</v>
      </c>
      <c r="Z92" s="3" t="str">
        <f t="shared" si="16"/>
        <v>http://www.dailygammon.com/bg/invite/new?submit=invite&amp;variant=1&amp;length=11&amp;time_control=12&amp;name=34th-season-4d&amp;player=35610</v>
      </c>
      <c r="AA92" s="3" t="s">
        <v>617</v>
      </c>
      <c r="AB92" s="3" t="str">
        <f t="shared" si="17"/>
        <v>invite Alex H</v>
      </c>
    </row>
    <row r="93" spans="1:28" x14ac:dyDescent="0.35">
      <c r="B93" s="51" t="str">
        <f>VLOOKUP(J93,Tabelle1!A:B,2,FALSE)</f>
        <v>4d</v>
      </c>
      <c r="C93" s="2">
        <v>34</v>
      </c>
      <c r="D93" s="51" t="s">
        <v>736</v>
      </c>
      <c r="E93" s="11" t="str">
        <f t="shared" si="12"/>
        <v>4d</v>
      </c>
      <c r="H93" s="2" t="s">
        <v>54</v>
      </c>
      <c r="J93" s="3" t="s">
        <v>56</v>
      </c>
      <c r="K93" s="3">
        <v>22415</v>
      </c>
      <c r="L93" s="2" t="s">
        <v>55</v>
      </c>
      <c r="N93" s="3" t="s">
        <v>57</v>
      </c>
      <c r="Q93" s="2" t="s">
        <v>58</v>
      </c>
      <c r="T93" s="2">
        <v>1</v>
      </c>
      <c r="U93" s="2">
        <v>11</v>
      </c>
      <c r="V93" s="2">
        <v>12</v>
      </c>
      <c r="W93" s="1" t="str">
        <f t="shared" si="13"/>
        <v>http://www.dailygammon.com/bg/invite/new?submit=invite&amp;variant=1&amp;length=11&amp;time_control=12&amp;name=</v>
      </c>
      <c r="X93" s="2" t="str">
        <f t="shared" si="14"/>
        <v>34th-season-4d</v>
      </c>
      <c r="Y93" s="12" t="str">
        <f t="shared" si="15"/>
        <v>invite Dao</v>
      </c>
      <c r="Z93" s="3" t="str">
        <f t="shared" si="16"/>
        <v>http://www.dailygammon.com/bg/invite/new?submit=invite&amp;variant=1&amp;length=11&amp;time_control=12&amp;name=34th-season-4d&amp;player=22415</v>
      </c>
      <c r="AA93" s="3" t="s">
        <v>617</v>
      </c>
      <c r="AB93" s="3" t="str">
        <f t="shared" si="17"/>
        <v>invite Dao</v>
      </c>
    </row>
    <row r="94" spans="1:28" x14ac:dyDescent="0.35">
      <c r="B94" s="51" t="str">
        <f>VLOOKUP(J94,Tabelle1!A:B,2,FALSE)</f>
        <v>4d</v>
      </c>
      <c r="C94" s="2">
        <v>34</v>
      </c>
      <c r="D94" s="51" t="s">
        <v>736</v>
      </c>
      <c r="E94" s="11" t="str">
        <f t="shared" si="12"/>
        <v>4d</v>
      </c>
      <c r="H94" s="2" t="s">
        <v>54</v>
      </c>
      <c r="J94" s="3" t="s">
        <v>934</v>
      </c>
      <c r="K94" s="3">
        <v>11977</v>
      </c>
      <c r="N94" s="3" t="s">
        <v>610</v>
      </c>
      <c r="S94" s="2" t="s">
        <v>613</v>
      </c>
      <c r="T94" s="2">
        <v>1</v>
      </c>
      <c r="U94" s="2">
        <v>11</v>
      </c>
      <c r="V94" s="2">
        <v>12</v>
      </c>
      <c r="W94" s="1" t="str">
        <f t="shared" si="13"/>
        <v>http://www.dailygammon.com/bg/invite/new?submit=invite&amp;variant=1&amp;length=11&amp;time_control=12&amp;name=</v>
      </c>
      <c r="X94" s="2" t="str">
        <f t="shared" si="14"/>
        <v>34th-season-4d</v>
      </c>
      <c r="Y94" s="12" t="str">
        <f t="shared" si="15"/>
        <v>invite hoodie</v>
      </c>
      <c r="Z94" s="3" t="str">
        <f t="shared" si="16"/>
        <v>http://www.dailygammon.com/bg/invite/new?submit=invite&amp;variant=1&amp;length=11&amp;time_control=12&amp;name=34th-season-4d&amp;player=11977</v>
      </c>
      <c r="AA94" s="3" t="s">
        <v>617</v>
      </c>
      <c r="AB94" s="3" t="str">
        <f t="shared" si="17"/>
        <v>invite hoodie</v>
      </c>
    </row>
    <row r="95" spans="1:28" ht="43.5" x14ac:dyDescent="0.35">
      <c r="A95" s="4" t="s">
        <v>983</v>
      </c>
      <c r="B95" s="51" t="str">
        <f>VLOOKUP(J95,Tabelle1!A:B,2,FALSE)</f>
        <v>4d</v>
      </c>
      <c r="C95" s="2">
        <v>34</v>
      </c>
      <c r="D95" s="51" t="s">
        <v>736</v>
      </c>
      <c r="E95" s="11" t="str">
        <f t="shared" si="12"/>
        <v>4d</v>
      </c>
      <c r="J95" s="37" t="s">
        <v>841</v>
      </c>
      <c r="K95" s="3">
        <v>40044</v>
      </c>
      <c r="L95" s="2" t="s">
        <v>839</v>
      </c>
      <c r="N95" s="3" t="s">
        <v>884</v>
      </c>
      <c r="P95" s="2" t="s">
        <v>842</v>
      </c>
      <c r="Q95" s="2" t="s">
        <v>597</v>
      </c>
      <c r="S95" s="2" t="s">
        <v>840</v>
      </c>
      <c r="T95" s="2">
        <v>1</v>
      </c>
      <c r="U95" s="2">
        <v>11</v>
      </c>
      <c r="V95" s="2">
        <v>12</v>
      </c>
      <c r="W95" s="1" t="str">
        <f t="shared" si="13"/>
        <v>http://www.dailygammon.com/bg/invite/new?submit=invite&amp;variant=1&amp;length=11&amp;time_control=12&amp;name=</v>
      </c>
      <c r="X95" s="2" t="str">
        <f t="shared" si="14"/>
        <v>34th-season-4d</v>
      </c>
      <c r="Y95" s="12" t="str">
        <f t="shared" si="15"/>
        <v>invite Huey</v>
      </c>
      <c r="Z95" s="3" t="str">
        <f t="shared" si="16"/>
        <v>http://www.dailygammon.com/bg/invite/new?submit=invite&amp;variant=1&amp;length=11&amp;time_control=12&amp;name=34th-season-4d&amp;player=40044</v>
      </c>
      <c r="AA95" s="3" t="s">
        <v>617</v>
      </c>
      <c r="AB95" s="3" t="str">
        <f t="shared" si="17"/>
        <v>invite Huey</v>
      </c>
    </row>
    <row r="96" spans="1:28" x14ac:dyDescent="0.35">
      <c r="B96" s="51" t="str">
        <f>VLOOKUP(J96,Tabelle1!A:B,2,FALSE)</f>
        <v>4d</v>
      </c>
      <c r="C96" s="2">
        <v>34</v>
      </c>
      <c r="D96" s="51" t="s">
        <v>736</v>
      </c>
      <c r="E96" s="11" t="str">
        <f t="shared" si="12"/>
        <v>4d</v>
      </c>
      <c r="H96" s="2" t="s">
        <v>54</v>
      </c>
      <c r="I96" s="2" t="s">
        <v>54</v>
      </c>
      <c r="J96" s="3" t="s">
        <v>930</v>
      </c>
      <c r="K96" s="3">
        <v>22809</v>
      </c>
      <c r="L96" s="2" t="s">
        <v>131</v>
      </c>
      <c r="N96" s="3" t="s">
        <v>132</v>
      </c>
      <c r="Q96" s="2" t="s">
        <v>133</v>
      </c>
      <c r="T96" s="2">
        <v>1</v>
      </c>
      <c r="U96" s="2">
        <v>11</v>
      </c>
      <c r="V96" s="2">
        <v>12</v>
      </c>
      <c r="W96" s="1" t="str">
        <f t="shared" si="13"/>
        <v>http://www.dailygammon.com/bg/invite/new?submit=invite&amp;variant=1&amp;length=11&amp;time_control=12&amp;name=</v>
      </c>
      <c r="X96" s="2" t="str">
        <f t="shared" si="14"/>
        <v>34th-season-4d</v>
      </c>
      <c r="Y96" s="12" t="str">
        <f t="shared" si="15"/>
        <v>invite izzak</v>
      </c>
      <c r="Z96" s="3" t="str">
        <f t="shared" si="16"/>
        <v>http://www.dailygammon.com/bg/invite/new?submit=invite&amp;variant=1&amp;length=11&amp;time_control=12&amp;name=34th-season-4d&amp;player=22809</v>
      </c>
      <c r="AA96" s="3" t="s">
        <v>617</v>
      </c>
      <c r="AB96" s="3" t="str">
        <f t="shared" si="17"/>
        <v>invite izzak</v>
      </c>
    </row>
    <row r="97" spans="1:28" x14ac:dyDescent="0.35">
      <c r="B97" s="51" t="str">
        <f>VLOOKUP(J97,Tabelle1!A:B,2,FALSE)</f>
        <v>4d</v>
      </c>
      <c r="C97" s="2">
        <v>34</v>
      </c>
      <c r="D97" s="51" t="s">
        <v>736</v>
      </c>
      <c r="E97" s="11" t="str">
        <f t="shared" si="12"/>
        <v>4d</v>
      </c>
      <c r="H97" s="2" t="s">
        <v>54</v>
      </c>
      <c r="J97" s="3" t="s">
        <v>922</v>
      </c>
      <c r="K97" s="3">
        <v>8743</v>
      </c>
      <c r="L97" s="2" t="s">
        <v>59</v>
      </c>
      <c r="N97" s="3" t="s">
        <v>60</v>
      </c>
      <c r="Q97" s="2" t="s">
        <v>61</v>
      </c>
      <c r="T97" s="2">
        <v>1</v>
      </c>
      <c r="U97" s="2">
        <v>11</v>
      </c>
      <c r="V97" s="2">
        <v>12</v>
      </c>
      <c r="W97" s="1" t="str">
        <f t="shared" si="13"/>
        <v>http://www.dailygammon.com/bg/invite/new?submit=invite&amp;variant=1&amp;length=11&amp;time_control=12&amp;name=</v>
      </c>
      <c r="X97" s="2" t="str">
        <f t="shared" si="14"/>
        <v>34th-season-4d</v>
      </c>
      <c r="Y97" s="12" t="str">
        <f t="shared" si="15"/>
        <v>invite klic</v>
      </c>
      <c r="Z97" s="3" t="str">
        <f t="shared" si="16"/>
        <v>http://www.dailygammon.com/bg/invite/new?submit=invite&amp;variant=1&amp;length=11&amp;time_control=12&amp;name=34th-season-4d&amp;player=8743</v>
      </c>
      <c r="AA97" s="3" t="s">
        <v>617</v>
      </c>
      <c r="AB97" s="3" t="str">
        <f t="shared" si="17"/>
        <v>invite klic</v>
      </c>
    </row>
    <row r="98" spans="1:28" x14ac:dyDescent="0.35">
      <c r="B98" s="51" t="str">
        <f>VLOOKUP(J98,Tabelle1!A:B,2,FALSE)</f>
        <v>4d</v>
      </c>
      <c r="C98" s="2">
        <v>34</v>
      </c>
      <c r="D98" s="51" t="s">
        <v>736</v>
      </c>
      <c r="E98" s="11" t="str">
        <f t="shared" ref="E98:E129" si="18">HYPERLINK(C98 &amp; IF(OR(AND(C98&gt;10,C98&lt;20),OR(MOD(C98,10)=0,MOD(C98,10)&gt;3)),"th",CHOOSE(MOD(C98,10),"st","nd","rd")) &amp; "_Backgammon-championships_" &amp; D98 &amp; ".xlsm",D98)</f>
        <v>4d</v>
      </c>
      <c r="H98" s="2" t="s">
        <v>54</v>
      </c>
      <c r="J98" s="3" t="s">
        <v>655</v>
      </c>
      <c r="K98" s="3">
        <v>2685</v>
      </c>
      <c r="L98" s="2" t="s">
        <v>657</v>
      </c>
      <c r="N98" s="3" t="s">
        <v>656</v>
      </c>
      <c r="Q98" s="2" t="s">
        <v>658</v>
      </c>
      <c r="S98" s="2" t="s">
        <v>659</v>
      </c>
      <c r="T98" s="2">
        <v>1</v>
      </c>
      <c r="U98" s="2">
        <v>11</v>
      </c>
      <c r="V98" s="2">
        <v>12</v>
      </c>
      <c r="W98" s="1" t="str">
        <f t="shared" ref="W98:W129" si="19">"http://www.dailygammon.com/bg/invite/new?submit=invite&amp;variant=" &amp; T98 &amp; "&amp;length=" &amp; U98 &amp; "&amp;time_control=" &amp; V98 &amp; "&amp;name="</f>
        <v>http://www.dailygammon.com/bg/invite/new?submit=invite&amp;variant=1&amp;length=11&amp;time_control=12&amp;name=</v>
      </c>
      <c r="X98" s="2" t="str">
        <f t="shared" ref="X98:X129" si="20">SUBSTITUTE(IF(C98="","Wrong invitation",C98 &amp; IF(RIGHT(C98,1)="1","st",IF(RIGHT(C98,1)="2","nd",IF(RIGHT(C98,1)="3","rd","th"))) &amp; "-season-" &amp; D98)," ","%20")</f>
        <v>34th-season-4d</v>
      </c>
      <c r="Y98" s="12" t="str">
        <f t="shared" ref="Y98:Y129" si="21">IF(C98="","Wrong invitation",CONCATENATE("invite ",J98))</f>
        <v>invite LuckyDog</v>
      </c>
      <c r="Z98" s="3" t="str">
        <f t="shared" ref="Z98:Z129" si="22">IF(C98="","",HYPERLINK(CONCATENATE(W98,X98,"&amp;player=",K98)))</f>
        <v>http://www.dailygammon.com/bg/invite/new?submit=invite&amp;variant=1&amp;length=11&amp;time_control=12&amp;name=34th-season-4d&amp;player=2685</v>
      </c>
      <c r="AA98" s="3" t="s">
        <v>617</v>
      </c>
      <c r="AB98" s="3" t="str">
        <f t="shared" ref="AB98:AB129" si="23">HYPERLINK(Z98,Y98)</f>
        <v>invite LuckyDog</v>
      </c>
    </row>
    <row r="99" spans="1:28" x14ac:dyDescent="0.35">
      <c r="B99" s="51" t="str">
        <f>VLOOKUP(J99,Tabelle1!A:B,2,FALSE)</f>
        <v>4d</v>
      </c>
      <c r="C99" s="2">
        <v>34</v>
      </c>
      <c r="D99" s="51" t="s">
        <v>736</v>
      </c>
      <c r="E99" s="11" t="str">
        <f t="shared" si="18"/>
        <v>4d</v>
      </c>
      <c r="H99" s="2" t="s">
        <v>54</v>
      </c>
      <c r="J99" s="3" t="s">
        <v>630</v>
      </c>
      <c r="K99" s="3">
        <v>23659</v>
      </c>
      <c r="N99" s="3" t="s">
        <v>631</v>
      </c>
      <c r="S99" s="2" t="s">
        <v>649</v>
      </c>
      <c r="T99" s="2">
        <v>1</v>
      </c>
      <c r="U99" s="2">
        <v>11</v>
      </c>
      <c r="V99" s="2">
        <v>12</v>
      </c>
      <c r="W99" s="1" t="str">
        <f t="shared" si="19"/>
        <v>http://www.dailygammon.com/bg/invite/new?submit=invite&amp;variant=1&amp;length=11&amp;time_control=12&amp;name=</v>
      </c>
      <c r="X99" s="2" t="str">
        <f t="shared" si="20"/>
        <v>34th-season-4d</v>
      </c>
      <c r="Y99" s="12" t="str">
        <f t="shared" si="21"/>
        <v>invite lucylucy</v>
      </c>
      <c r="Z99" s="3" t="str">
        <f t="shared" si="22"/>
        <v>http://www.dailygammon.com/bg/invite/new?submit=invite&amp;variant=1&amp;length=11&amp;time_control=12&amp;name=34th-season-4d&amp;player=23659</v>
      </c>
      <c r="AA99" s="3" t="s">
        <v>617</v>
      </c>
      <c r="AB99" s="3" t="str">
        <f t="shared" si="23"/>
        <v>invite lucylucy</v>
      </c>
    </row>
    <row r="100" spans="1:28" x14ac:dyDescent="0.35">
      <c r="B100" s="51" t="str">
        <f>VLOOKUP(J100,Tabelle1!A:B,2,FALSE)</f>
        <v>4d</v>
      </c>
      <c r="C100" s="2">
        <v>34</v>
      </c>
      <c r="D100" s="51" t="s">
        <v>736</v>
      </c>
      <c r="E100" s="11" t="str">
        <f t="shared" si="18"/>
        <v>4d</v>
      </c>
      <c r="H100" s="2" t="s">
        <v>54</v>
      </c>
      <c r="J100" s="3" t="s">
        <v>234</v>
      </c>
      <c r="K100" s="3">
        <v>18751</v>
      </c>
      <c r="L100" s="2" t="s">
        <v>233</v>
      </c>
      <c r="N100" s="3" t="s">
        <v>868</v>
      </c>
      <c r="O100" s="3" t="s">
        <v>235</v>
      </c>
      <c r="Q100" s="2" t="s">
        <v>236</v>
      </c>
      <c r="T100" s="2">
        <v>1</v>
      </c>
      <c r="U100" s="2">
        <v>11</v>
      </c>
      <c r="V100" s="2">
        <v>12</v>
      </c>
      <c r="W100" s="1" t="str">
        <f t="shared" si="19"/>
        <v>http://www.dailygammon.com/bg/invite/new?submit=invite&amp;variant=1&amp;length=11&amp;time_control=12&amp;name=</v>
      </c>
      <c r="X100" s="2" t="str">
        <f t="shared" si="20"/>
        <v>34th-season-4d</v>
      </c>
      <c r="Y100" s="12" t="str">
        <f t="shared" si="21"/>
        <v>invite Richie.Adams</v>
      </c>
      <c r="Z100" s="3" t="str">
        <f t="shared" si="22"/>
        <v>http://www.dailygammon.com/bg/invite/new?submit=invite&amp;variant=1&amp;length=11&amp;time_control=12&amp;name=34th-season-4d&amp;player=18751</v>
      </c>
      <c r="AA100" s="3" t="s">
        <v>617</v>
      </c>
      <c r="AB100" s="3" t="str">
        <f t="shared" si="23"/>
        <v>invite Richie.Adams</v>
      </c>
    </row>
    <row r="101" spans="1:28" x14ac:dyDescent="0.35">
      <c r="B101" s="51" t="str">
        <f>VLOOKUP(J101,Tabelle1!A:B,2,FALSE)</f>
        <v>4d</v>
      </c>
      <c r="C101" s="2">
        <v>34</v>
      </c>
      <c r="D101" s="51" t="s">
        <v>736</v>
      </c>
      <c r="E101" s="11" t="str">
        <f t="shared" si="18"/>
        <v>4d</v>
      </c>
      <c r="J101" s="3" t="s">
        <v>344</v>
      </c>
      <c r="K101" s="3">
        <v>10907</v>
      </c>
      <c r="L101" s="2" t="s">
        <v>361</v>
      </c>
      <c r="N101" s="3" t="s">
        <v>363</v>
      </c>
      <c r="O101" s="3"/>
      <c r="P101" s="3"/>
      <c r="Q101" s="2" t="s">
        <v>362</v>
      </c>
      <c r="T101" s="2">
        <v>1</v>
      </c>
      <c r="U101" s="2">
        <v>11</v>
      </c>
      <c r="V101" s="2">
        <v>12</v>
      </c>
      <c r="W101" s="1" t="str">
        <f t="shared" si="19"/>
        <v>http://www.dailygammon.com/bg/invite/new?submit=invite&amp;variant=1&amp;length=11&amp;time_control=12&amp;name=</v>
      </c>
      <c r="X101" s="2" t="str">
        <f t="shared" si="20"/>
        <v>34th-season-4d</v>
      </c>
      <c r="Y101" s="12" t="str">
        <f t="shared" si="21"/>
        <v>invite star62</v>
      </c>
      <c r="Z101" s="3" t="str">
        <f t="shared" si="22"/>
        <v>http://www.dailygammon.com/bg/invite/new?submit=invite&amp;variant=1&amp;length=11&amp;time_control=12&amp;name=34th-season-4d&amp;player=10907</v>
      </c>
      <c r="AA101" s="3" t="s">
        <v>617</v>
      </c>
      <c r="AB101" s="3" t="str">
        <f t="shared" si="23"/>
        <v>invite star62</v>
      </c>
    </row>
    <row r="102" spans="1:28" x14ac:dyDescent="0.35">
      <c r="B102" s="51" t="str">
        <f>VLOOKUP(J102,Tabelle1!A:B,2,FALSE)</f>
        <v>5a</v>
      </c>
      <c r="C102" s="2">
        <v>34</v>
      </c>
      <c r="D102" s="51" t="s">
        <v>491</v>
      </c>
      <c r="E102" s="11" t="str">
        <f t="shared" si="18"/>
        <v>5a</v>
      </c>
      <c r="H102" s="2" t="s">
        <v>54</v>
      </c>
      <c r="J102" s="3" t="s">
        <v>37</v>
      </c>
      <c r="K102" s="3">
        <v>33114</v>
      </c>
      <c r="L102" s="2" t="s">
        <v>36</v>
      </c>
      <c r="N102" s="3" t="s">
        <v>38</v>
      </c>
      <c r="Q102" s="2" t="s">
        <v>39</v>
      </c>
      <c r="T102" s="2">
        <v>1</v>
      </c>
      <c r="U102" s="2">
        <v>11</v>
      </c>
      <c r="V102" s="2">
        <v>12</v>
      </c>
      <c r="W102" s="1" t="str">
        <f t="shared" si="19"/>
        <v>http://www.dailygammon.com/bg/invite/new?submit=invite&amp;variant=1&amp;length=11&amp;time_control=12&amp;name=</v>
      </c>
      <c r="X102" s="2" t="str">
        <f t="shared" si="20"/>
        <v>34th-season-5a</v>
      </c>
      <c r="Y102" s="12" t="str">
        <f t="shared" si="21"/>
        <v>invite ANESTIS</v>
      </c>
      <c r="Z102" s="3" t="str">
        <f t="shared" si="22"/>
        <v>http://www.dailygammon.com/bg/invite/new?submit=invite&amp;variant=1&amp;length=11&amp;time_control=12&amp;name=34th-season-5a&amp;player=33114</v>
      </c>
      <c r="AA102" s="3" t="s">
        <v>617</v>
      </c>
      <c r="AB102" s="3" t="str">
        <f t="shared" si="23"/>
        <v>invite ANESTIS</v>
      </c>
    </row>
    <row r="103" spans="1:28" x14ac:dyDescent="0.35">
      <c r="B103" s="51" t="str">
        <f>VLOOKUP(J103,Tabelle1!A:B,2,FALSE)</f>
        <v>5a</v>
      </c>
      <c r="C103" s="2">
        <v>34</v>
      </c>
      <c r="D103" s="51" t="s">
        <v>491</v>
      </c>
      <c r="E103" s="11" t="str">
        <f t="shared" si="18"/>
        <v>5a</v>
      </c>
      <c r="H103" s="2" t="s">
        <v>54</v>
      </c>
      <c r="J103" s="3" t="s">
        <v>527</v>
      </c>
      <c r="K103" s="3">
        <v>2543</v>
      </c>
      <c r="L103" s="2" t="s">
        <v>528</v>
      </c>
      <c r="N103" s="3" t="s">
        <v>529</v>
      </c>
      <c r="S103" s="2" t="s">
        <v>612</v>
      </c>
      <c r="T103" s="2">
        <v>1</v>
      </c>
      <c r="U103" s="2">
        <v>11</v>
      </c>
      <c r="V103" s="2">
        <v>12</v>
      </c>
      <c r="W103" s="1" t="str">
        <f t="shared" si="19"/>
        <v>http://www.dailygammon.com/bg/invite/new?submit=invite&amp;variant=1&amp;length=11&amp;time_control=12&amp;name=</v>
      </c>
      <c r="X103" s="2" t="str">
        <f t="shared" si="20"/>
        <v>34th-season-5a</v>
      </c>
      <c r="Y103" s="12" t="str">
        <f t="shared" si="21"/>
        <v>invite Ganieda</v>
      </c>
      <c r="Z103" s="3" t="str">
        <f t="shared" si="22"/>
        <v>http://www.dailygammon.com/bg/invite/new?submit=invite&amp;variant=1&amp;length=11&amp;time_control=12&amp;name=34th-season-5a&amp;player=2543</v>
      </c>
      <c r="AA103" s="3" t="s">
        <v>617</v>
      </c>
      <c r="AB103" s="3" t="str">
        <f t="shared" si="23"/>
        <v>invite Ganieda</v>
      </c>
    </row>
    <row r="104" spans="1:28" ht="29" x14ac:dyDescent="0.35">
      <c r="A104" s="4" t="s">
        <v>985</v>
      </c>
      <c r="B104" s="51" t="str">
        <f>VLOOKUP(J104,Tabelle1!A:B,2,FALSE)</f>
        <v>5a</v>
      </c>
      <c r="C104" s="2">
        <v>34</v>
      </c>
      <c r="D104" s="51" t="s">
        <v>491</v>
      </c>
      <c r="E104" s="11" t="str">
        <f t="shared" si="18"/>
        <v>5a</v>
      </c>
      <c r="J104" s="37" t="s">
        <v>988</v>
      </c>
      <c r="K104" s="3">
        <v>12220</v>
      </c>
      <c r="L104" s="2" t="s">
        <v>281</v>
      </c>
      <c r="M104" s="2" t="s">
        <v>986</v>
      </c>
      <c r="N104" s="3" t="s">
        <v>989</v>
      </c>
      <c r="Q104" s="2" t="s">
        <v>597</v>
      </c>
      <c r="S104" s="2" t="s">
        <v>987</v>
      </c>
      <c r="T104" s="2">
        <v>1</v>
      </c>
      <c r="U104" s="2">
        <v>11</v>
      </c>
      <c r="V104" s="2">
        <v>12</v>
      </c>
      <c r="W104" s="1" t="str">
        <f t="shared" si="19"/>
        <v>http://www.dailygammon.com/bg/invite/new?submit=invite&amp;variant=1&amp;length=11&amp;time_control=12&amp;name=</v>
      </c>
      <c r="X104" s="2" t="str">
        <f t="shared" si="20"/>
        <v>34th-season-5a</v>
      </c>
      <c r="Y104" s="12" t="str">
        <f t="shared" si="21"/>
        <v>invite gelzi</v>
      </c>
      <c r="Z104" s="3" t="str">
        <f t="shared" si="22"/>
        <v>http://www.dailygammon.com/bg/invite/new?submit=invite&amp;variant=1&amp;length=11&amp;time_control=12&amp;name=34th-season-5a&amp;player=12220</v>
      </c>
      <c r="AA104" s="3" t="s">
        <v>617</v>
      </c>
      <c r="AB104" s="3" t="str">
        <f t="shared" si="23"/>
        <v>invite gelzi</v>
      </c>
    </row>
    <row r="105" spans="1:28" x14ac:dyDescent="0.35">
      <c r="B105" s="51" t="str">
        <f>VLOOKUP(J105,Tabelle1!A:B,2,FALSE)</f>
        <v>5a</v>
      </c>
      <c r="C105" s="2">
        <v>34</v>
      </c>
      <c r="D105" s="51" t="s">
        <v>491</v>
      </c>
      <c r="E105" s="11" t="str">
        <f t="shared" si="18"/>
        <v>5a</v>
      </c>
      <c r="J105" s="3" t="s">
        <v>520</v>
      </c>
      <c r="K105" s="3">
        <v>37706</v>
      </c>
      <c r="L105" s="2" t="s">
        <v>521</v>
      </c>
      <c r="N105" s="3" t="s">
        <v>523</v>
      </c>
      <c r="Q105" s="2" t="s">
        <v>522</v>
      </c>
      <c r="S105" s="2" t="s">
        <v>539</v>
      </c>
      <c r="T105" s="2">
        <v>1</v>
      </c>
      <c r="U105" s="2">
        <v>11</v>
      </c>
      <c r="V105" s="2">
        <v>12</v>
      </c>
      <c r="W105" s="1" t="str">
        <f t="shared" si="19"/>
        <v>http://www.dailygammon.com/bg/invite/new?submit=invite&amp;variant=1&amp;length=11&amp;time_control=12&amp;name=</v>
      </c>
      <c r="X105" s="2" t="str">
        <f t="shared" si="20"/>
        <v>34th-season-5a</v>
      </c>
      <c r="Y105" s="12" t="str">
        <f t="shared" si="21"/>
        <v>invite Liamleech1</v>
      </c>
      <c r="Z105" s="3" t="str">
        <f t="shared" si="22"/>
        <v>http://www.dailygammon.com/bg/invite/new?submit=invite&amp;variant=1&amp;length=11&amp;time_control=12&amp;name=34th-season-5a&amp;player=37706</v>
      </c>
      <c r="AA105" s="3" t="s">
        <v>617</v>
      </c>
      <c r="AB105" s="3" t="str">
        <f t="shared" si="23"/>
        <v>invite Liamleech1</v>
      </c>
    </row>
    <row r="106" spans="1:28" ht="29" x14ac:dyDescent="0.35">
      <c r="A106" s="2" t="s">
        <v>995</v>
      </c>
      <c r="B106" s="51" t="e">
        <f>VLOOKUP(J106,Tabelle1!A:B,2,FALSE)</f>
        <v>#N/A</v>
      </c>
      <c r="C106" s="2">
        <v>34</v>
      </c>
      <c r="D106" s="51" t="s">
        <v>491</v>
      </c>
      <c r="E106" s="11" t="str">
        <f t="shared" si="18"/>
        <v>5a</v>
      </c>
      <c r="J106" s="37" t="s">
        <v>996</v>
      </c>
      <c r="K106" s="3">
        <v>42202</v>
      </c>
      <c r="L106" t="s">
        <v>997</v>
      </c>
      <c r="M106" s="2" t="s">
        <v>998</v>
      </c>
      <c r="N106" s="1" t="s">
        <v>999</v>
      </c>
      <c r="Q106" s="2" t="s">
        <v>1000</v>
      </c>
      <c r="S106" s="4" t="s">
        <v>1001</v>
      </c>
      <c r="T106" s="2">
        <v>1</v>
      </c>
      <c r="U106" s="2">
        <v>11</v>
      </c>
      <c r="V106" s="2">
        <v>12</v>
      </c>
      <c r="W106" s="1" t="str">
        <f t="shared" si="19"/>
        <v>http://www.dailygammon.com/bg/invite/new?submit=invite&amp;variant=1&amp;length=11&amp;time_control=12&amp;name=</v>
      </c>
      <c r="X106" s="2" t="str">
        <f t="shared" si="20"/>
        <v>34th-season-5a</v>
      </c>
      <c r="Y106" s="12" t="str">
        <f t="shared" si="21"/>
        <v>invite Njtigfan</v>
      </c>
      <c r="Z106" s="3" t="str">
        <f t="shared" si="22"/>
        <v>http://www.dailygammon.com/bg/invite/new?submit=invite&amp;variant=1&amp;length=11&amp;time_control=12&amp;name=34th-season-5a&amp;player=42202</v>
      </c>
      <c r="AA106" s="3" t="s">
        <v>617</v>
      </c>
      <c r="AB106" s="3" t="str">
        <f t="shared" si="23"/>
        <v>invite Njtigfan</v>
      </c>
    </row>
    <row r="107" spans="1:28" ht="29" x14ac:dyDescent="0.35">
      <c r="A107" s="2" t="s">
        <v>945</v>
      </c>
      <c r="B107" s="51" t="str">
        <f>VLOOKUP(J107,Tabelle1!A:B,2,FALSE)</f>
        <v>5a</v>
      </c>
      <c r="C107" s="2">
        <v>34</v>
      </c>
      <c r="D107" s="51" t="s">
        <v>491</v>
      </c>
      <c r="E107" s="11" t="str">
        <f t="shared" si="18"/>
        <v>5a</v>
      </c>
      <c r="J107" s="37" t="s">
        <v>957</v>
      </c>
      <c r="K107" s="3">
        <v>41606</v>
      </c>
      <c r="L107" s="2" t="s">
        <v>958</v>
      </c>
      <c r="N107" s="1" t="s">
        <v>961</v>
      </c>
      <c r="Q107" s="2" t="s">
        <v>956</v>
      </c>
      <c r="S107" s="4" t="s">
        <v>970</v>
      </c>
      <c r="T107" s="2">
        <v>1</v>
      </c>
      <c r="U107" s="2">
        <v>11</v>
      </c>
      <c r="V107" s="2">
        <v>12</v>
      </c>
      <c r="W107" s="1" t="str">
        <f t="shared" si="19"/>
        <v>http://www.dailygammon.com/bg/invite/new?submit=invite&amp;variant=1&amp;length=11&amp;time_control=12&amp;name=</v>
      </c>
      <c r="X107" s="2" t="str">
        <f t="shared" si="20"/>
        <v>34th-season-5a</v>
      </c>
      <c r="Y107" s="12" t="str">
        <f t="shared" si="21"/>
        <v>invite OLLI CCYHI</v>
      </c>
      <c r="Z107" s="3" t="str">
        <f t="shared" si="22"/>
        <v>http://www.dailygammon.com/bg/invite/new?submit=invite&amp;variant=1&amp;length=11&amp;time_control=12&amp;name=34th-season-5a&amp;player=41606</v>
      </c>
      <c r="AA107" s="3" t="s">
        <v>617</v>
      </c>
      <c r="AB107" s="3" t="str">
        <f t="shared" si="23"/>
        <v>invite OLLI CCYHI</v>
      </c>
    </row>
    <row r="108" spans="1:28" x14ac:dyDescent="0.35">
      <c r="B108" s="51" t="str">
        <f>VLOOKUP(J108,Tabelle1!A:B,2,FALSE)</f>
        <v>5a</v>
      </c>
      <c r="C108" s="2">
        <v>34</v>
      </c>
      <c r="D108" s="51" t="s">
        <v>491</v>
      </c>
      <c r="E108" s="11" t="str">
        <f t="shared" si="18"/>
        <v>5a</v>
      </c>
      <c r="H108" s="2" t="s">
        <v>54</v>
      </c>
      <c r="J108" s="3" t="s">
        <v>458</v>
      </c>
      <c r="K108" s="3">
        <v>36118</v>
      </c>
      <c r="L108" t="s">
        <v>456</v>
      </c>
      <c r="M108" s="2" t="s">
        <v>457</v>
      </c>
      <c r="N108" s="3" t="s">
        <v>462</v>
      </c>
      <c r="Q108" t="s">
        <v>459</v>
      </c>
      <c r="R108"/>
      <c r="S108" s="2" t="s">
        <v>460</v>
      </c>
      <c r="T108" s="2">
        <v>1</v>
      </c>
      <c r="U108" s="2">
        <v>11</v>
      </c>
      <c r="V108" s="2">
        <v>12</v>
      </c>
      <c r="W108" s="1" t="str">
        <f t="shared" si="19"/>
        <v>http://www.dailygammon.com/bg/invite/new?submit=invite&amp;variant=1&amp;length=11&amp;time_control=12&amp;name=</v>
      </c>
      <c r="X108" s="2" t="str">
        <f t="shared" si="20"/>
        <v>34th-season-5a</v>
      </c>
      <c r="Y108" s="12" t="str">
        <f t="shared" si="21"/>
        <v>invite snoopaggieag</v>
      </c>
      <c r="Z108" s="3" t="str">
        <f t="shared" si="22"/>
        <v>http://www.dailygammon.com/bg/invite/new?submit=invite&amp;variant=1&amp;length=11&amp;time_control=12&amp;name=34th-season-5a&amp;player=36118</v>
      </c>
      <c r="AA108" s="3" t="s">
        <v>617</v>
      </c>
      <c r="AB108" s="3" t="str">
        <f t="shared" si="23"/>
        <v>invite snoopaggieag</v>
      </c>
    </row>
    <row r="109" spans="1:28" ht="29" x14ac:dyDescent="0.35">
      <c r="A109" s="2" t="s">
        <v>978</v>
      </c>
      <c r="B109" s="51" t="str">
        <f>VLOOKUP(J109,Tabelle1!A:B,2,FALSE)</f>
        <v>5a</v>
      </c>
      <c r="C109" s="2">
        <v>34</v>
      </c>
      <c r="D109" s="51" t="s">
        <v>491</v>
      </c>
      <c r="E109" s="11" t="str">
        <f t="shared" si="18"/>
        <v>5a</v>
      </c>
      <c r="J109" s="37" t="s">
        <v>979</v>
      </c>
      <c r="K109" s="3">
        <v>24748</v>
      </c>
      <c r="L109" s="2" t="s">
        <v>192</v>
      </c>
      <c r="N109" s="1" t="s">
        <v>982</v>
      </c>
      <c r="Q109" s="2" t="s">
        <v>980</v>
      </c>
      <c r="S109" s="4" t="s">
        <v>981</v>
      </c>
      <c r="T109" s="2">
        <v>1</v>
      </c>
      <c r="U109" s="2">
        <v>11</v>
      </c>
      <c r="V109" s="2">
        <v>12</v>
      </c>
      <c r="W109" s="1" t="str">
        <f t="shared" si="19"/>
        <v>http://www.dailygammon.com/bg/invite/new?submit=invite&amp;variant=1&amp;length=11&amp;time_control=12&amp;name=</v>
      </c>
      <c r="X109" s="2" t="str">
        <f t="shared" si="20"/>
        <v>34th-season-5a</v>
      </c>
      <c r="Y109" s="12" t="str">
        <f t="shared" si="21"/>
        <v>invite sound.nicer.dicer</v>
      </c>
      <c r="Z109" s="3" t="str">
        <f t="shared" si="22"/>
        <v>http://www.dailygammon.com/bg/invite/new?submit=invite&amp;variant=1&amp;length=11&amp;time_control=12&amp;name=34th-season-5a&amp;player=24748</v>
      </c>
      <c r="AA109" s="3" t="s">
        <v>617</v>
      </c>
      <c r="AB109" s="3" t="str">
        <f t="shared" si="23"/>
        <v>invite sound.nicer.dicer</v>
      </c>
    </row>
    <row r="110" spans="1:28" x14ac:dyDescent="0.35">
      <c r="B110" s="51" t="str">
        <f>VLOOKUP(J110,Tabelle1!A:B,2,FALSE)</f>
        <v>5a</v>
      </c>
      <c r="C110" s="2">
        <v>34</v>
      </c>
      <c r="D110" s="51" t="s">
        <v>491</v>
      </c>
      <c r="E110" s="11" t="str">
        <f t="shared" si="18"/>
        <v>5a</v>
      </c>
      <c r="J110" s="3" t="s">
        <v>310</v>
      </c>
      <c r="K110" s="3">
        <v>18530</v>
      </c>
      <c r="L110" s="2" t="s">
        <v>382</v>
      </c>
      <c r="N110" s="3" t="s">
        <v>380</v>
      </c>
      <c r="Q110" s="2" t="s">
        <v>318</v>
      </c>
      <c r="T110" s="2">
        <v>1</v>
      </c>
      <c r="U110" s="2">
        <v>11</v>
      </c>
      <c r="V110" s="2">
        <v>12</v>
      </c>
      <c r="W110" s="1" t="str">
        <f t="shared" si="19"/>
        <v>http://www.dailygammon.com/bg/invite/new?submit=invite&amp;variant=1&amp;length=11&amp;time_control=12&amp;name=</v>
      </c>
      <c r="X110" s="2" t="str">
        <f t="shared" si="20"/>
        <v>34th-season-5a</v>
      </c>
      <c r="Y110" s="12" t="str">
        <f t="shared" si="21"/>
        <v>invite swrigley</v>
      </c>
      <c r="Z110" s="3" t="str">
        <f t="shared" si="22"/>
        <v>http://www.dailygammon.com/bg/invite/new?submit=invite&amp;variant=1&amp;length=11&amp;time_control=12&amp;name=34th-season-5a&amp;player=18530</v>
      </c>
      <c r="AA110" s="3" t="s">
        <v>617</v>
      </c>
      <c r="AB110" s="3" t="str">
        <f t="shared" si="23"/>
        <v>invite swrigley</v>
      </c>
    </row>
    <row r="111" spans="1:28" x14ac:dyDescent="0.35">
      <c r="B111" s="51" t="str">
        <f>VLOOKUP(J111,Tabelle1!A:B,2,FALSE)</f>
        <v>5b</v>
      </c>
      <c r="C111" s="2">
        <v>34</v>
      </c>
      <c r="D111" s="51" t="s">
        <v>492</v>
      </c>
      <c r="E111" s="11" t="str">
        <f t="shared" si="18"/>
        <v>5b</v>
      </c>
      <c r="H111" s="2" t="s">
        <v>54</v>
      </c>
      <c r="J111" s="3" t="s">
        <v>309</v>
      </c>
      <c r="K111" s="3">
        <v>18934</v>
      </c>
      <c r="L111" s="2" t="s">
        <v>316</v>
      </c>
      <c r="M111" s="2" t="s">
        <v>317</v>
      </c>
      <c r="N111" s="3" t="s">
        <v>332</v>
      </c>
      <c r="O111" s="3"/>
      <c r="P111" s="3"/>
      <c r="Q111" s="2" t="s">
        <v>315</v>
      </c>
      <c r="T111" s="2">
        <v>1</v>
      </c>
      <c r="U111" s="2">
        <v>11</v>
      </c>
      <c r="V111" s="2">
        <v>12</v>
      </c>
      <c r="W111" s="1" t="str">
        <f t="shared" si="19"/>
        <v>http://www.dailygammon.com/bg/invite/new?submit=invite&amp;variant=1&amp;length=11&amp;time_control=12&amp;name=</v>
      </c>
      <c r="X111" s="2" t="str">
        <f t="shared" si="20"/>
        <v>34th-season-5b</v>
      </c>
      <c r="Y111" s="12" t="str">
        <f t="shared" si="21"/>
        <v>invite andersm</v>
      </c>
      <c r="Z111" s="3" t="str">
        <f t="shared" si="22"/>
        <v>http://www.dailygammon.com/bg/invite/new?submit=invite&amp;variant=1&amp;length=11&amp;time_control=12&amp;name=34th-season-5b&amp;player=18934</v>
      </c>
      <c r="AA111" s="3" t="s">
        <v>617</v>
      </c>
      <c r="AB111" s="3" t="str">
        <f t="shared" si="23"/>
        <v>invite andersm</v>
      </c>
    </row>
    <row r="112" spans="1:28" ht="29" x14ac:dyDescent="0.35">
      <c r="B112" s="51" t="str">
        <f>VLOOKUP(J112,Tabelle1!A:B,2,FALSE)</f>
        <v>5b</v>
      </c>
      <c r="C112" s="2">
        <v>34</v>
      </c>
      <c r="D112" s="51" t="s">
        <v>492</v>
      </c>
      <c r="E112" s="11" t="str">
        <f t="shared" si="18"/>
        <v>5b</v>
      </c>
      <c r="H112" s="2" t="s">
        <v>54</v>
      </c>
      <c r="I112" s="2" t="s">
        <v>54</v>
      </c>
      <c r="J112" s="3" t="s">
        <v>919</v>
      </c>
      <c r="K112" s="3">
        <v>39676</v>
      </c>
      <c r="L112" s="2" t="s">
        <v>855</v>
      </c>
      <c r="N112" s="3" t="s">
        <v>856</v>
      </c>
      <c r="O112" s="3" t="s">
        <v>917</v>
      </c>
      <c r="Q112" s="2" t="s">
        <v>597</v>
      </c>
      <c r="S112" s="4" t="s">
        <v>857</v>
      </c>
      <c r="T112" s="2">
        <v>1</v>
      </c>
      <c r="U112" s="2">
        <v>11</v>
      </c>
      <c r="V112" s="2">
        <v>12</v>
      </c>
      <c r="W112" s="1" t="str">
        <f t="shared" si="19"/>
        <v>http://www.dailygammon.com/bg/invite/new?submit=invite&amp;variant=1&amp;length=11&amp;time_control=12&amp;name=</v>
      </c>
      <c r="X112" s="2" t="str">
        <f t="shared" si="20"/>
        <v>34th-season-5b</v>
      </c>
      <c r="Y112" s="12" t="str">
        <f t="shared" si="21"/>
        <v>invite jebediasmie</v>
      </c>
      <c r="Z112" s="3" t="str">
        <f t="shared" si="22"/>
        <v>http://www.dailygammon.com/bg/invite/new?submit=invite&amp;variant=1&amp;length=11&amp;time_control=12&amp;name=34th-season-5b&amp;player=39676</v>
      </c>
      <c r="AA112" s="3" t="s">
        <v>617</v>
      </c>
      <c r="AB112" s="3" t="str">
        <f t="shared" si="23"/>
        <v>invite jebediasmie</v>
      </c>
    </row>
    <row r="113" spans="1:28" x14ac:dyDescent="0.35">
      <c r="B113" s="51" t="str">
        <f>VLOOKUP(J113,Tabelle1!A:B,2,FALSE)</f>
        <v>5b</v>
      </c>
      <c r="C113" s="2">
        <v>34</v>
      </c>
      <c r="D113" s="51" t="s">
        <v>492</v>
      </c>
      <c r="E113" s="11" t="str">
        <f t="shared" si="18"/>
        <v>5b</v>
      </c>
      <c r="J113" s="3" t="s">
        <v>11</v>
      </c>
      <c r="K113" s="3">
        <v>27628</v>
      </c>
      <c r="L113" s="2" t="s">
        <v>146</v>
      </c>
      <c r="N113" s="3" t="s">
        <v>151</v>
      </c>
      <c r="O113" s="3"/>
      <c r="P113" s="3"/>
      <c r="Q113" s="2" t="s">
        <v>150</v>
      </c>
      <c r="S113" s="4"/>
      <c r="T113" s="2">
        <v>1</v>
      </c>
      <c r="U113" s="2">
        <v>11</v>
      </c>
      <c r="V113" s="2">
        <v>12</v>
      </c>
      <c r="W113" s="1" t="str">
        <f t="shared" si="19"/>
        <v>http://www.dailygammon.com/bg/invite/new?submit=invite&amp;variant=1&amp;length=11&amp;time_control=12&amp;name=</v>
      </c>
      <c r="X113" s="2" t="str">
        <f t="shared" si="20"/>
        <v>34th-season-5b</v>
      </c>
      <c r="Y113" s="12" t="str">
        <f t="shared" si="21"/>
        <v>invite Michael the pariah</v>
      </c>
      <c r="Z113" s="3" t="str">
        <f t="shared" si="22"/>
        <v>http://www.dailygammon.com/bg/invite/new?submit=invite&amp;variant=1&amp;length=11&amp;time_control=12&amp;name=34th-season-5b&amp;player=27628</v>
      </c>
      <c r="AA113" s="3" t="s">
        <v>617</v>
      </c>
      <c r="AB113" s="3" t="str">
        <f t="shared" si="23"/>
        <v>invite Michael the pariah</v>
      </c>
    </row>
    <row r="114" spans="1:28" x14ac:dyDescent="0.35">
      <c r="B114" s="51" t="str">
        <f>VLOOKUP(J114,Tabelle1!A:B,2,FALSE)</f>
        <v>5b</v>
      </c>
      <c r="C114" s="2">
        <v>34</v>
      </c>
      <c r="D114" s="51" t="s">
        <v>492</v>
      </c>
      <c r="E114" s="11" t="str">
        <f t="shared" si="18"/>
        <v>5b</v>
      </c>
      <c r="H114" s="2" t="s">
        <v>54</v>
      </c>
      <c r="J114" s="3" t="s">
        <v>67</v>
      </c>
      <c r="K114" s="3">
        <v>32125</v>
      </c>
      <c r="L114" s="2" t="s">
        <v>66</v>
      </c>
      <c r="N114" s="3" t="s">
        <v>68</v>
      </c>
      <c r="Q114" s="2" t="s">
        <v>69</v>
      </c>
      <c r="R114" s="2" t="s">
        <v>681</v>
      </c>
      <c r="T114" s="2">
        <v>1</v>
      </c>
      <c r="U114" s="2">
        <v>11</v>
      </c>
      <c r="V114" s="2">
        <v>12</v>
      </c>
      <c r="W114" s="1" t="str">
        <f t="shared" si="19"/>
        <v>http://www.dailygammon.com/bg/invite/new?submit=invite&amp;variant=1&amp;length=11&amp;time_control=12&amp;name=</v>
      </c>
      <c r="X114" s="2" t="str">
        <f t="shared" si="20"/>
        <v>34th-season-5b</v>
      </c>
      <c r="Y114" s="12" t="str">
        <f t="shared" si="21"/>
        <v>invite MungoMH</v>
      </c>
      <c r="Z114" s="3" t="str">
        <f t="shared" si="22"/>
        <v>http://www.dailygammon.com/bg/invite/new?submit=invite&amp;variant=1&amp;length=11&amp;time_control=12&amp;name=34th-season-5b&amp;player=32125</v>
      </c>
      <c r="AA114" s="3" t="s">
        <v>617</v>
      </c>
      <c r="AB114" s="3" t="str">
        <f t="shared" si="23"/>
        <v>invite MungoMH</v>
      </c>
    </row>
    <row r="115" spans="1:28" x14ac:dyDescent="0.35">
      <c r="A115" s="2" t="s">
        <v>1006</v>
      </c>
      <c r="B115" s="51" t="e">
        <f>VLOOKUP(J115,Tabelle1!A:B,2,FALSE)</f>
        <v>#N/A</v>
      </c>
      <c r="C115" s="2">
        <v>34</v>
      </c>
      <c r="D115" s="51" t="s">
        <v>492</v>
      </c>
      <c r="E115" s="11" t="str">
        <f t="shared" si="18"/>
        <v>5b</v>
      </c>
      <c r="I115" s="2" t="s">
        <v>54</v>
      </c>
      <c r="J115" s="3" t="s">
        <v>411</v>
      </c>
      <c r="K115" s="3">
        <v>14990</v>
      </c>
      <c r="L115" s="2" t="s">
        <v>55</v>
      </c>
      <c r="M115" s="2" t="s">
        <v>412</v>
      </c>
      <c r="N115" s="3" t="s">
        <v>414</v>
      </c>
      <c r="Q115" s="2" t="s">
        <v>413</v>
      </c>
      <c r="T115" s="2">
        <v>1</v>
      </c>
      <c r="U115" s="2">
        <v>11</v>
      </c>
      <c r="V115" s="2">
        <v>12</v>
      </c>
      <c r="W115" s="1" t="str">
        <f t="shared" si="19"/>
        <v>http://www.dailygammon.com/bg/invite/new?submit=invite&amp;variant=1&amp;length=11&amp;time_control=12&amp;name=</v>
      </c>
      <c r="X115" s="2" t="str">
        <f t="shared" si="20"/>
        <v>34th-season-5b</v>
      </c>
      <c r="Y115" s="12" t="str">
        <f t="shared" si="21"/>
        <v>invite neptun</v>
      </c>
      <c r="Z115" s="3" t="str">
        <f t="shared" si="22"/>
        <v>http://www.dailygammon.com/bg/invite/new?submit=invite&amp;variant=1&amp;length=11&amp;time_control=12&amp;name=34th-season-5b&amp;player=14990</v>
      </c>
      <c r="AA115" s="3" t="s">
        <v>617</v>
      </c>
      <c r="AB115" s="3" t="str">
        <f t="shared" si="23"/>
        <v>invite neptun</v>
      </c>
    </row>
    <row r="116" spans="1:28" ht="14.4" customHeight="1" x14ac:dyDescent="0.35">
      <c r="B116" s="51" t="str">
        <f>VLOOKUP(J116,Tabelle1!A:B,2,FALSE)</f>
        <v>5b</v>
      </c>
      <c r="C116" s="2">
        <v>34</v>
      </c>
      <c r="D116" s="51" t="s">
        <v>492</v>
      </c>
      <c r="E116" s="11" t="str">
        <f t="shared" si="18"/>
        <v>5b</v>
      </c>
      <c r="J116" s="3" t="s">
        <v>155</v>
      </c>
      <c r="K116" s="3">
        <v>1070</v>
      </c>
      <c r="L116" s="2" t="s">
        <v>285</v>
      </c>
      <c r="M116" s="2" t="s">
        <v>286</v>
      </c>
      <c r="N116" s="7" t="s">
        <v>365</v>
      </c>
      <c r="O116" s="7" t="s">
        <v>806</v>
      </c>
      <c r="P116" s="7"/>
      <c r="Q116" s="2" t="s">
        <v>977</v>
      </c>
      <c r="T116" s="2">
        <v>1</v>
      </c>
      <c r="U116" s="2">
        <v>11</v>
      </c>
      <c r="V116" s="2">
        <v>12</v>
      </c>
      <c r="W116" s="1" t="str">
        <f t="shared" si="19"/>
        <v>http://www.dailygammon.com/bg/invite/new?submit=invite&amp;variant=1&amp;length=11&amp;time_control=12&amp;name=</v>
      </c>
      <c r="X116" s="2" t="str">
        <f t="shared" si="20"/>
        <v>34th-season-5b</v>
      </c>
      <c r="Y116" s="12" t="str">
        <f t="shared" si="21"/>
        <v>invite oldehippy</v>
      </c>
      <c r="Z116" s="3" t="str">
        <f t="shared" si="22"/>
        <v>http://www.dailygammon.com/bg/invite/new?submit=invite&amp;variant=1&amp;length=11&amp;time_control=12&amp;name=34th-season-5b&amp;player=1070</v>
      </c>
      <c r="AA116" s="3" t="s">
        <v>617</v>
      </c>
      <c r="AB116" s="3" t="str">
        <f t="shared" si="23"/>
        <v>invite oldehippy</v>
      </c>
    </row>
    <row r="117" spans="1:28" x14ac:dyDescent="0.35">
      <c r="B117" s="51" t="str">
        <f>VLOOKUP(J117,Tabelle1!A:B,2,FALSE)</f>
        <v>5b</v>
      </c>
      <c r="C117" s="2">
        <v>34</v>
      </c>
      <c r="D117" s="51" t="s">
        <v>492</v>
      </c>
      <c r="E117" s="11" t="str">
        <f t="shared" si="18"/>
        <v>5b</v>
      </c>
      <c r="J117" s="3" t="s">
        <v>186</v>
      </c>
      <c r="K117" s="3">
        <v>30497</v>
      </c>
      <c r="L117" s="2" t="s">
        <v>102</v>
      </c>
      <c r="M117" s="2" t="s">
        <v>188</v>
      </c>
      <c r="N117" s="3" t="s">
        <v>103</v>
      </c>
      <c r="O117" s="3"/>
      <c r="P117" s="3"/>
      <c r="Q117" s="2" t="s">
        <v>187</v>
      </c>
      <c r="T117" s="2">
        <v>1</v>
      </c>
      <c r="U117" s="2">
        <v>11</v>
      </c>
      <c r="V117" s="2">
        <v>12</v>
      </c>
      <c r="W117" s="1" t="str">
        <f t="shared" si="19"/>
        <v>http://www.dailygammon.com/bg/invite/new?submit=invite&amp;variant=1&amp;length=11&amp;time_control=12&amp;name=</v>
      </c>
      <c r="X117" s="2" t="str">
        <f t="shared" si="20"/>
        <v>34th-season-5b</v>
      </c>
      <c r="Y117" s="12" t="str">
        <f t="shared" si="21"/>
        <v>invite silvercilla</v>
      </c>
      <c r="Z117" s="3" t="str">
        <f t="shared" si="22"/>
        <v>http://www.dailygammon.com/bg/invite/new?submit=invite&amp;variant=1&amp;length=11&amp;time_control=12&amp;name=34th-season-5b&amp;player=30497</v>
      </c>
      <c r="AA117" s="3" t="s">
        <v>617</v>
      </c>
      <c r="AB117" s="3" t="str">
        <f t="shared" si="23"/>
        <v>invite silvercilla</v>
      </c>
    </row>
    <row r="118" spans="1:28" ht="29" x14ac:dyDescent="0.35">
      <c r="A118" s="2" t="s">
        <v>995</v>
      </c>
      <c r="B118" s="51" t="e">
        <f>VLOOKUP(J118,Tabelle1!A:B,2,FALSE)</f>
        <v>#N/A</v>
      </c>
      <c r="C118" s="2">
        <v>34</v>
      </c>
      <c r="D118" s="51" t="s">
        <v>492</v>
      </c>
      <c r="E118" s="11" t="str">
        <f t="shared" si="18"/>
        <v>5b</v>
      </c>
      <c r="J118" s="37" t="s">
        <v>1008</v>
      </c>
      <c r="K118" s="3">
        <v>8077</v>
      </c>
      <c r="L118" t="s">
        <v>1008</v>
      </c>
      <c r="N118" s="1" t="s">
        <v>1013</v>
      </c>
      <c r="S118" s="4" t="s">
        <v>1009</v>
      </c>
      <c r="T118" s="2">
        <v>1</v>
      </c>
      <c r="U118" s="2">
        <v>11</v>
      </c>
      <c r="V118" s="2">
        <v>12</v>
      </c>
      <c r="W118" s="1" t="str">
        <f t="shared" si="19"/>
        <v>http://www.dailygammon.com/bg/invite/new?submit=invite&amp;variant=1&amp;length=11&amp;time_control=12&amp;name=</v>
      </c>
      <c r="X118" s="2" t="str">
        <f t="shared" si="20"/>
        <v>34th-season-5b</v>
      </c>
      <c r="Y118" s="12" t="str">
        <f t="shared" si="21"/>
        <v>invite T.J.</v>
      </c>
      <c r="Z118" s="3" t="str">
        <f t="shared" si="22"/>
        <v>http://www.dailygammon.com/bg/invite/new?submit=invite&amp;variant=1&amp;length=11&amp;time_control=12&amp;name=34th-season-5b&amp;player=8077</v>
      </c>
      <c r="AA118" s="3" t="s">
        <v>617</v>
      </c>
      <c r="AB118" s="3" t="str">
        <f t="shared" si="23"/>
        <v>invite T.J.</v>
      </c>
    </row>
    <row r="119" spans="1:28" x14ac:dyDescent="0.35">
      <c r="B119" s="51" t="str">
        <f>VLOOKUP(J119,Tabelle1!A:B,2,FALSE)</f>
        <v>5b</v>
      </c>
      <c r="C119" s="2">
        <v>34</v>
      </c>
      <c r="D119" s="51" t="s">
        <v>492</v>
      </c>
      <c r="E119" s="11" t="str">
        <f t="shared" si="18"/>
        <v>5b</v>
      </c>
      <c r="J119" s="3" t="s">
        <v>848</v>
      </c>
      <c r="K119" s="3">
        <v>40365</v>
      </c>
      <c r="L119" s="2" t="s">
        <v>849</v>
      </c>
      <c r="N119" s="3" t="s">
        <v>850</v>
      </c>
      <c r="Q119" s="2" t="s">
        <v>597</v>
      </c>
      <c r="S119" s="2" t="s">
        <v>894</v>
      </c>
      <c r="T119" s="2">
        <v>1</v>
      </c>
      <c r="U119" s="2">
        <v>11</v>
      </c>
      <c r="V119" s="2">
        <v>12</v>
      </c>
      <c r="W119" s="1" t="str">
        <f t="shared" si="19"/>
        <v>http://www.dailygammon.com/bg/invite/new?submit=invite&amp;variant=1&amp;length=11&amp;time_control=12&amp;name=</v>
      </c>
      <c r="X119" s="2" t="str">
        <f t="shared" si="20"/>
        <v>34th-season-5b</v>
      </c>
      <c r="Y119" s="12" t="str">
        <f t="shared" si="21"/>
        <v>invite Yolandaine</v>
      </c>
      <c r="Z119" s="3" t="str">
        <f t="shared" si="22"/>
        <v>http://www.dailygammon.com/bg/invite/new?submit=invite&amp;variant=1&amp;length=11&amp;time_control=12&amp;name=34th-season-5b&amp;player=40365</v>
      </c>
      <c r="AA119" s="3" t="s">
        <v>617</v>
      </c>
      <c r="AB119" s="3" t="str">
        <f t="shared" si="23"/>
        <v>invite Yolandaine</v>
      </c>
    </row>
    <row r="120" spans="1:28" x14ac:dyDescent="0.35">
      <c r="B120" s="51" t="str">
        <f>VLOOKUP(J120,Tabelle1!A:B,2,FALSE)</f>
        <v>5c</v>
      </c>
      <c r="C120" s="2">
        <v>34</v>
      </c>
      <c r="D120" s="51" t="s">
        <v>494</v>
      </c>
      <c r="E120" s="11" t="str">
        <f t="shared" si="18"/>
        <v>5c</v>
      </c>
      <c r="J120" s="3" t="s">
        <v>82</v>
      </c>
      <c r="K120" s="3">
        <v>28330</v>
      </c>
      <c r="L120" s="2" t="s">
        <v>83</v>
      </c>
      <c r="M120" s="2" t="s">
        <v>84</v>
      </c>
      <c r="N120" s="3" t="s">
        <v>85</v>
      </c>
      <c r="O120" s="3"/>
      <c r="P120" s="3"/>
      <c r="Q120" s="2" t="s">
        <v>86</v>
      </c>
      <c r="T120" s="2">
        <v>1</v>
      </c>
      <c r="U120" s="2">
        <v>11</v>
      </c>
      <c r="V120" s="2">
        <v>12</v>
      </c>
      <c r="W120" s="1" t="str">
        <f t="shared" si="19"/>
        <v>http://www.dailygammon.com/bg/invite/new?submit=invite&amp;variant=1&amp;length=11&amp;time_control=12&amp;name=</v>
      </c>
      <c r="X120" s="2" t="str">
        <f t="shared" si="20"/>
        <v>34th-season-5c</v>
      </c>
      <c r="Y120" s="12" t="str">
        <f t="shared" si="21"/>
        <v>invite Cora</v>
      </c>
      <c r="Z120" s="3" t="str">
        <f t="shared" si="22"/>
        <v>http://www.dailygammon.com/bg/invite/new?submit=invite&amp;variant=1&amp;length=11&amp;time_control=12&amp;name=34th-season-5c&amp;player=28330</v>
      </c>
      <c r="AA120" s="3" t="s">
        <v>617</v>
      </c>
      <c r="AB120" s="3" t="str">
        <f t="shared" si="23"/>
        <v>invite Cora</v>
      </c>
    </row>
    <row r="121" spans="1:28" x14ac:dyDescent="0.35">
      <c r="B121" s="51" t="str">
        <f>VLOOKUP(J121,Tabelle1!A:B,2,FALSE)</f>
        <v>5c</v>
      </c>
      <c r="C121" s="2">
        <v>34</v>
      </c>
      <c r="D121" s="51" t="s">
        <v>494</v>
      </c>
      <c r="E121" s="11" t="str">
        <f t="shared" si="18"/>
        <v>5c</v>
      </c>
      <c r="H121" s="2" t="s">
        <v>54</v>
      </c>
      <c r="J121" s="3" t="s">
        <v>935</v>
      </c>
      <c r="K121" s="3">
        <v>21796</v>
      </c>
      <c r="L121" s="2" t="s">
        <v>62</v>
      </c>
      <c r="N121" s="3" t="s">
        <v>64</v>
      </c>
      <c r="Q121" s="2" t="s">
        <v>65</v>
      </c>
      <c r="T121" s="2">
        <v>1</v>
      </c>
      <c r="U121" s="2">
        <v>11</v>
      </c>
      <c r="V121" s="2">
        <v>12</v>
      </c>
      <c r="W121" s="1" t="str">
        <f t="shared" si="19"/>
        <v>http://www.dailygammon.com/bg/invite/new?submit=invite&amp;variant=1&amp;length=11&amp;time_control=12&amp;name=</v>
      </c>
      <c r="X121" s="2" t="str">
        <f t="shared" si="20"/>
        <v>34th-season-5c</v>
      </c>
      <c r="Y121" s="12" t="str">
        <f t="shared" si="21"/>
        <v>invite fulesmacko</v>
      </c>
      <c r="Z121" s="3" t="str">
        <f t="shared" si="22"/>
        <v>http://www.dailygammon.com/bg/invite/new?submit=invite&amp;variant=1&amp;length=11&amp;time_control=12&amp;name=34th-season-5c&amp;player=21796</v>
      </c>
      <c r="AA121" s="3" t="s">
        <v>617</v>
      </c>
      <c r="AB121" s="3" t="str">
        <f t="shared" si="23"/>
        <v>invite fulesmacko</v>
      </c>
    </row>
    <row r="122" spans="1:28" x14ac:dyDescent="0.35">
      <c r="B122" s="51" t="str">
        <f>VLOOKUP(J122,Tabelle1!A:B,2,FALSE)</f>
        <v>5c</v>
      </c>
      <c r="C122" s="2">
        <v>34</v>
      </c>
      <c r="D122" s="51" t="s">
        <v>494</v>
      </c>
      <c r="E122" s="11" t="str">
        <f t="shared" si="18"/>
        <v>5c</v>
      </c>
      <c r="J122" s="3" t="s">
        <v>16</v>
      </c>
      <c r="K122" s="3">
        <v>25188</v>
      </c>
      <c r="L122" s="2" t="s">
        <v>15</v>
      </c>
      <c r="N122" s="3" t="s">
        <v>17</v>
      </c>
      <c r="Q122" s="2" t="s">
        <v>18</v>
      </c>
      <c r="T122" s="2">
        <v>1</v>
      </c>
      <c r="U122" s="2">
        <v>11</v>
      </c>
      <c r="V122" s="2">
        <v>12</v>
      </c>
      <c r="W122" s="1" t="str">
        <f t="shared" si="19"/>
        <v>http://www.dailygammon.com/bg/invite/new?submit=invite&amp;variant=1&amp;length=11&amp;time_control=12&amp;name=</v>
      </c>
      <c r="X122" s="2" t="str">
        <f t="shared" si="20"/>
        <v>34th-season-5c</v>
      </c>
      <c r="Y122" s="12" t="str">
        <f t="shared" si="21"/>
        <v>invite Funkypower</v>
      </c>
      <c r="Z122" s="3" t="str">
        <f t="shared" si="22"/>
        <v>http://www.dailygammon.com/bg/invite/new?submit=invite&amp;variant=1&amp;length=11&amp;time_control=12&amp;name=34th-season-5c&amp;player=25188</v>
      </c>
      <c r="AA122" s="3" t="s">
        <v>617</v>
      </c>
      <c r="AB122" s="3" t="str">
        <f t="shared" si="23"/>
        <v>invite Funkypower</v>
      </c>
    </row>
    <row r="123" spans="1:28" x14ac:dyDescent="0.35">
      <c r="B123" s="51" t="str">
        <f>VLOOKUP(J123,Tabelle1!A:B,2,FALSE)</f>
        <v>5c</v>
      </c>
      <c r="C123" s="2">
        <v>34</v>
      </c>
      <c r="D123" s="51" t="s">
        <v>494</v>
      </c>
      <c r="E123" s="11" t="str">
        <f t="shared" si="18"/>
        <v>5c</v>
      </c>
      <c r="H123" s="2" t="s">
        <v>54</v>
      </c>
      <c r="J123" s="3" t="s">
        <v>433</v>
      </c>
      <c r="K123" s="3">
        <v>30835</v>
      </c>
      <c r="L123" s="2" t="s">
        <v>434</v>
      </c>
      <c r="M123" s="2" t="s">
        <v>435</v>
      </c>
      <c r="N123" s="3" t="s">
        <v>437</v>
      </c>
      <c r="Q123" t="s">
        <v>436</v>
      </c>
      <c r="R123"/>
      <c r="T123" s="2">
        <v>1</v>
      </c>
      <c r="U123" s="2">
        <v>11</v>
      </c>
      <c r="V123" s="2">
        <v>12</v>
      </c>
      <c r="W123" s="1" t="str">
        <f t="shared" si="19"/>
        <v>http://www.dailygammon.com/bg/invite/new?submit=invite&amp;variant=1&amp;length=11&amp;time_control=12&amp;name=</v>
      </c>
      <c r="X123" s="2" t="str">
        <f t="shared" si="20"/>
        <v>34th-season-5c</v>
      </c>
      <c r="Y123" s="12" t="str">
        <f t="shared" si="21"/>
        <v>invite geeimatree</v>
      </c>
      <c r="Z123" s="3" t="str">
        <f t="shared" si="22"/>
        <v>http://www.dailygammon.com/bg/invite/new?submit=invite&amp;variant=1&amp;length=11&amp;time_control=12&amp;name=34th-season-5c&amp;player=30835</v>
      </c>
      <c r="AA123" s="3" t="s">
        <v>617</v>
      </c>
      <c r="AB123" s="3" t="str">
        <f t="shared" si="23"/>
        <v>invite geeimatree</v>
      </c>
    </row>
    <row r="124" spans="1:28" x14ac:dyDescent="0.35">
      <c r="A124" s="2" t="s">
        <v>995</v>
      </c>
      <c r="B124" s="51" t="e">
        <f>VLOOKUP(J124,Tabelle1!A:B,2,FALSE)</f>
        <v>#N/A</v>
      </c>
      <c r="C124" s="2">
        <v>34</v>
      </c>
      <c r="D124" s="51" t="s">
        <v>494</v>
      </c>
      <c r="E124" s="11" t="str">
        <f t="shared" si="18"/>
        <v>5c</v>
      </c>
      <c r="J124" s="37" t="s">
        <v>1015</v>
      </c>
      <c r="K124" s="3">
        <v>23180</v>
      </c>
      <c r="L124" s="2" t="s">
        <v>1016</v>
      </c>
      <c r="N124" s="1" t="s">
        <v>1014</v>
      </c>
      <c r="Q124" s="2" t="s">
        <v>1017</v>
      </c>
      <c r="S124" s="4"/>
      <c r="T124" s="2">
        <v>1</v>
      </c>
      <c r="U124" s="2">
        <v>11</v>
      </c>
      <c r="V124" s="2">
        <v>12</v>
      </c>
      <c r="W124" s="1" t="str">
        <f t="shared" si="19"/>
        <v>http://www.dailygammon.com/bg/invite/new?submit=invite&amp;variant=1&amp;length=11&amp;time_control=12&amp;name=</v>
      </c>
      <c r="X124" s="2" t="str">
        <f t="shared" si="20"/>
        <v>34th-season-5c</v>
      </c>
      <c r="Y124" s="12" t="str">
        <f t="shared" si="21"/>
        <v>invite J1moyer</v>
      </c>
      <c r="Z124" s="3" t="str">
        <f t="shared" si="22"/>
        <v>http://www.dailygammon.com/bg/invite/new?submit=invite&amp;variant=1&amp;length=11&amp;time_control=12&amp;name=34th-season-5c&amp;player=23180</v>
      </c>
      <c r="AA124" s="3" t="s">
        <v>617</v>
      </c>
      <c r="AB124" s="3" t="str">
        <f t="shared" si="23"/>
        <v>invite J1moyer</v>
      </c>
    </row>
    <row r="125" spans="1:28" x14ac:dyDescent="0.35">
      <c r="B125" s="51" t="str">
        <f>VLOOKUP(J125,Tabelle1!A:B,2,FALSE)</f>
        <v>5c</v>
      </c>
      <c r="C125" s="2">
        <v>34</v>
      </c>
      <c r="D125" s="51" t="s">
        <v>494</v>
      </c>
      <c r="E125" s="11" t="str">
        <f t="shared" si="18"/>
        <v>5c</v>
      </c>
      <c r="J125" s="11" t="s">
        <v>76</v>
      </c>
      <c r="K125" s="3">
        <v>24353</v>
      </c>
      <c r="L125" s="2" t="s">
        <v>75</v>
      </c>
      <c r="N125" s="3" t="s">
        <v>77</v>
      </c>
      <c r="Q125" s="2" t="s">
        <v>78</v>
      </c>
      <c r="S125" s="4"/>
      <c r="T125" s="2">
        <v>1</v>
      </c>
      <c r="U125" s="2">
        <v>11</v>
      </c>
      <c r="V125" s="2">
        <v>12</v>
      </c>
      <c r="W125" s="1" t="str">
        <f t="shared" si="19"/>
        <v>http://www.dailygammon.com/bg/invite/new?submit=invite&amp;variant=1&amp;length=11&amp;time_control=12&amp;name=</v>
      </c>
      <c r="X125" s="2" t="str">
        <f t="shared" si="20"/>
        <v>34th-season-5c</v>
      </c>
      <c r="Y125" s="12" t="str">
        <f t="shared" si="21"/>
        <v>invite Martin of Harrogate</v>
      </c>
      <c r="Z125" s="3" t="str">
        <f t="shared" si="22"/>
        <v>http://www.dailygammon.com/bg/invite/new?submit=invite&amp;variant=1&amp;length=11&amp;time_control=12&amp;name=34th-season-5c&amp;player=24353</v>
      </c>
      <c r="AA125" s="3" t="s">
        <v>617</v>
      </c>
      <c r="AB125" s="3" t="str">
        <f t="shared" si="23"/>
        <v>invite Martin of Harrogate</v>
      </c>
    </row>
    <row r="126" spans="1:28" x14ac:dyDescent="0.35">
      <c r="B126" s="51" t="str">
        <f>VLOOKUP(J126,Tabelle1!A:B,2,FALSE)</f>
        <v>5c</v>
      </c>
      <c r="C126" s="2">
        <v>34</v>
      </c>
      <c r="D126" s="51" t="s">
        <v>494</v>
      </c>
      <c r="E126" s="11" t="str">
        <f t="shared" si="18"/>
        <v>5c</v>
      </c>
      <c r="H126" s="2" t="s">
        <v>54</v>
      </c>
      <c r="J126" s="3" t="s">
        <v>844</v>
      </c>
      <c r="K126" s="3">
        <v>39590</v>
      </c>
      <c r="L126" s="2" t="s">
        <v>845</v>
      </c>
      <c r="N126" s="3" t="s">
        <v>847</v>
      </c>
      <c r="Q126" s="2" t="s">
        <v>846</v>
      </c>
      <c r="S126" s="2" t="s">
        <v>843</v>
      </c>
      <c r="T126" s="2">
        <v>1</v>
      </c>
      <c r="U126" s="2">
        <v>11</v>
      </c>
      <c r="V126" s="2">
        <v>12</v>
      </c>
      <c r="W126" s="1" t="str">
        <f t="shared" si="19"/>
        <v>http://www.dailygammon.com/bg/invite/new?submit=invite&amp;variant=1&amp;length=11&amp;time_control=12&amp;name=</v>
      </c>
      <c r="X126" s="2" t="str">
        <f t="shared" si="20"/>
        <v>34th-season-5c</v>
      </c>
      <c r="Y126" s="12" t="str">
        <f t="shared" si="21"/>
        <v>invite OLLI Jane</v>
      </c>
      <c r="Z126" s="3" t="str">
        <f t="shared" si="22"/>
        <v>http://www.dailygammon.com/bg/invite/new?submit=invite&amp;variant=1&amp;length=11&amp;time_control=12&amp;name=34th-season-5c&amp;player=39590</v>
      </c>
      <c r="AA126" s="3" t="s">
        <v>617</v>
      </c>
      <c r="AB126" s="3" t="str">
        <f t="shared" si="23"/>
        <v>invite OLLI Jane</v>
      </c>
    </row>
    <row r="127" spans="1:28" x14ac:dyDescent="0.35">
      <c r="A127" s="2" t="s">
        <v>908</v>
      </c>
      <c r="B127" s="51" t="str">
        <f>VLOOKUP(J127,Tabelle1!A:B,2,FALSE)</f>
        <v>5c</v>
      </c>
      <c r="C127" s="2">
        <v>34</v>
      </c>
      <c r="D127" s="51" t="s">
        <v>494</v>
      </c>
      <c r="E127" s="11" t="str">
        <f t="shared" si="18"/>
        <v>5c</v>
      </c>
      <c r="J127" s="37" t="s">
        <v>938</v>
      </c>
      <c r="K127" s="3">
        <v>40722</v>
      </c>
      <c r="L127" s="2" t="s">
        <v>724</v>
      </c>
      <c r="M127" s="2" t="s">
        <v>941</v>
      </c>
      <c r="N127" s="1" t="s">
        <v>939</v>
      </c>
      <c r="Q127" s="2" t="s">
        <v>940</v>
      </c>
      <c r="S127" s="4" t="s">
        <v>834</v>
      </c>
      <c r="T127" s="2">
        <v>1</v>
      </c>
      <c r="U127" s="2">
        <v>11</v>
      </c>
      <c r="V127" s="2">
        <v>12</v>
      </c>
      <c r="W127" s="1" t="str">
        <f t="shared" si="19"/>
        <v>http://www.dailygammon.com/bg/invite/new?submit=invite&amp;variant=1&amp;length=11&amp;time_control=12&amp;name=</v>
      </c>
      <c r="X127" s="2" t="str">
        <f t="shared" si="20"/>
        <v>34th-season-5c</v>
      </c>
      <c r="Y127" s="12" t="str">
        <f t="shared" si="21"/>
        <v>invite paulcam</v>
      </c>
      <c r="Z127" s="3" t="str">
        <f t="shared" si="22"/>
        <v>http://www.dailygammon.com/bg/invite/new?submit=invite&amp;variant=1&amp;length=11&amp;time_control=12&amp;name=34th-season-5c&amp;player=40722</v>
      </c>
      <c r="AA127" s="3" t="s">
        <v>617</v>
      </c>
      <c r="AB127" s="3" t="str">
        <f t="shared" si="23"/>
        <v>invite paulcam</v>
      </c>
    </row>
    <row r="128" spans="1:28" x14ac:dyDescent="0.35">
      <c r="B128" s="51" t="str">
        <f>VLOOKUP(J128,Tabelle1!A:B,2,FALSE)</f>
        <v>5c</v>
      </c>
      <c r="C128" s="2">
        <v>34</v>
      </c>
      <c r="D128" s="51" t="s">
        <v>494</v>
      </c>
      <c r="E128" s="11" t="str">
        <f t="shared" si="18"/>
        <v>5c</v>
      </c>
      <c r="H128" s="2" t="s">
        <v>54</v>
      </c>
      <c r="J128" s="3" t="s">
        <v>20</v>
      </c>
      <c r="K128" s="3">
        <v>30903</v>
      </c>
      <c r="L128" s="2" t="s">
        <v>19</v>
      </c>
      <c r="N128" s="3" t="s">
        <v>21</v>
      </c>
      <c r="Q128" s="2" t="s">
        <v>22</v>
      </c>
      <c r="T128" s="2">
        <v>1</v>
      </c>
      <c r="U128" s="2">
        <v>11</v>
      </c>
      <c r="V128" s="2">
        <v>12</v>
      </c>
      <c r="W128" s="1" t="str">
        <f t="shared" si="19"/>
        <v>http://www.dailygammon.com/bg/invite/new?submit=invite&amp;variant=1&amp;length=11&amp;time_control=12&amp;name=</v>
      </c>
      <c r="X128" s="2" t="str">
        <f t="shared" si="20"/>
        <v>34th-season-5c</v>
      </c>
      <c r="Y128" s="12" t="str">
        <f t="shared" si="21"/>
        <v>invite Yamboian</v>
      </c>
      <c r="Z128" s="3" t="str">
        <f t="shared" si="22"/>
        <v>http://www.dailygammon.com/bg/invite/new?submit=invite&amp;variant=1&amp;length=11&amp;time_control=12&amp;name=34th-season-5c&amp;player=30903</v>
      </c>
      <c r="AA128" s="3" t="s">
        <v>617</v>
      </c>
      <c r="AB128" s="3" t="str">
        <f t="shared" si="23"/>
        <v>invite Yamboian</v>
      </c>
    </row>
    <row r="129" spans="1:28" hidden="1" x14ac:dyDescent="0.35">
      <c r="A129" s="2" t="s">
        <v>1007</v>
      </c>
      <c r="B129" s="51" t="str">
        <f>VLOOKUP(J129,Tabelle1!A:B,2,FALSE)</f>
        <v>left</v>
      </c>
      <c r="C129" s="2">
        <v>33</v>
      </c>
      <c r="D129" s="51" t="s">
        <v>1012</v>
      </c>
      <c r="E129" s="11" t="str">
        <f t="shared" si="18"/>
        <v>left</v>
      </c>
      <c r="G129" s="2" t="s">
        <v>54</v>
      </c>
      <c r="J129" s="3" t="s">
        <v>932</v>
      </c>
      <c r="K129" s="3">
        <v>21572</v>
      </c>
      <c r="L129" s="2" t="s">
        <v>26</v>
      </c>
      <c r="N129" s="3" t="s">
        <v>27</v>
      </c>
      <c r="Q129" s="2" t="s">
        <v>28</v>
      </c>
      <c r="T129" s="2">
        <v>1</v>
      </c>
      <c r="U129" s="2">
        <v>11</v>
      </c>
      <c r="V129" s="2">
        <v>12</v>
      </c>
      <c r="W129" s="1" t="str">
        <f t="shared" si="19"/>
        <v>http://www.dailygammon.com/bg/invite/new?submit=invite&amp;variant=1&amp;length=11&amp;time_control=12&amp;name=</v>
      </c>
      <c r="X129" s="2" t="str">
        <f t="shared" si="20"/>
        <v>33rd-season-left</v>
      </c>
      <c r="Y129" s="12" t="str">
        <f t="shared" si="21"/>
        <v>invite andy1975</v>
      </c>
      <c r="Z129" s="3" t="str">
        <f t="shared" si="22"/>
        <v>http://www.dailygammon.com/bg/invite/new?submit=invite&amp;variant=1&amp;length=11&amp;time_control=12&amp;name=33rd-season-left&amp;player=21572</v>
      </c>
      <c r="AA129" s="3" t="s">
        <v>617</v>
      </c>
      <c r="AB129" s="3" t="str">
        <f t="shared" si="23"/>
        <v>invite andy1975</v>
      </c>
    </row>
    <row r="130" spans="1:28" hidden="1" x14ac:dyDescent="0.35">
      <c r="A130" s="2" t="s">
        <v>1002</v>
      </c>
      <c r="B130" s="51" t="str">
        <f>VLOOKUP(J130,Tabelle1!A:B,2,FALSE)</f>
        <v>left</v>
      </c>
      <c r="C130" s="2">
        <v>33</v>
      </c>
      <c r="D130" s="51" t="s">
        <v>1012</v>
      </c>
      <c r="E130" s="11" t="str">
        <f t="shared" ref="E130:E161" si="24">HYPERLINK(C130 &amp; IF(OR(AND(C130&gt;10,C130&lt;20),OR(MOD(C130,10)=0,MOD(C130,10)&gt;3)),"th",CHOOSE(MOD(C130,10),"st","nd","rd")) &amp; "_Backgammon-championships_" &amp; D130 &amp; ".xlsm",D130)</f>
        <v>left</v>
      </c>
      <c r="G130" s="2" t="s">
        <v>54</v>
      </c>
      <c r="H130" s="2" t="s">
        <v>54</v>
      </c>
      <c r="J130" s="3" t="s">
        <v>231</v>
      </c>
      <c r="K130" s="3">
        <v>6282</v>
      </c>
      <c r="L130" s="2" t="s">
        <v>230</v>
      </c>
      <c r="N130" s="3" t="s">
        <v>232</v>
      </c>
      <c r="Q130" s="2" t="s">
        <v>828</v>
      </c>
      <c r="T130" s="2">
        <v>1</v>
      </c>
      <c r="U130" s="2">
        <v>11</v>
      </c>
      <c r="V130" s="2">
        <v>12</v>
      </c>
      <c r="W130" s="1" t="str">
        <f t="shared" ref="W130:W161" si="25">"http://www.dailygammon.com/bg/invite/new?submit=invite&amp;variant=" &amp; T130 &amp; "&amp;length=" &amp; U130 &amp; "&amp;time_control=" &amp; V130 &amp; "&amp;name="</f>
        <v>http://www.dailygammon.com/bg/invite/new?submit=invite&amp;variant=1&amp;length=11&amp;time_control=12&amp;name=</v>
      </c>
      <c r="X130" s="2" t="str">
        <f t="shared" ref="X130:X161" si="26">SUBSTITUTE(IF(C130="","Wrong invitation",C130 &amp; IF(RIGHT(C130,1)="1","st",IF(RIGHT(C130,1)="2","nd",IF(RIGHT(C130,1)="3","rd","th"))) &amp; "-season-" &amp; D130)," ","%20")</f>
        <v>33rd-season-left</v>
      </c>
      <c r="Y130" s="12" t="str">
        <f t="shared" ref="Y130:Y161" si="27">IF(C130="","Wrong invitation",CONCATENATE("invite ",J130))</f>
        <v>invite Brunello</v>
      </c>
      <c r="Z130" s="3" t="str">
        <f t="shared" ref="Z130:Z161" si="28">IF(C130="","",HYPERLINK(CONCATENATE(W130,X130,"&amp;player=",K130)))</f>
        <v>http://www.dailygammon.com/bg/invite/new?submit=invite&amp;variant=1&amp;length=11&amp;time_control=12&amp;name=33rd-season-left&amp;player=6282</v>
      </c>
      <c r="AA130" s="3" t="s">
        <v>617</v>
      </c>
      <c r="AB130" s="3" t="str">
        <f t="shared" ref="AB130:AB161" si="29">HYPERLINK(Z130,Y130)</f>
        <v>invite Brunello</v>
      </c>
    </row>
    <row r="131" spans="1:28" hidden="1" x14ac:dyDescent="0.35">
      <c r="A131" s="2" t="s">
        <v>994</v>
      </c>
      <c r="B131" s="51" t="str">
        <f>VLOOKUP(J131,Tabelle1!A:B,2,FALSE)</f>
        <v>left</v>
      </c>
      <c r="C131" s="2">
        <v>33</v>
      </c>
      <c r="D131" s="51" t="s">
        <v>1012</v>
      </c>
      <c r="E131" s="11" t="str">
        <f t="shared" si="24"/>
        <v>left</v>
      </c>
      <c r="G131" s="2" t="s">
        <v>54</v>
      </c>
      <c r="J131" s="3" t="s">
        <v>248</v>
      </c>
      <c r="K131" s="3">
        <v>23996</v>
      </c>
      <c r="L131" s="2" t="s">
        <v>98</v>
      </c>
      <c r="N131" s="3" t="s">
        <v>249</v>
      </c>
      <c r="Q131" s="2" t="s">
        <v>250</v>
      </c>
      <c r="T131" s="2">
        <v>1</v>
      </c>
      <c r="U131" s="2">
        <v>11</v>
      </c>
      <c r="V131" s="2">
        <v>12</v>
      </c>
      <c r="W131" s="1" t="str">
        <f t="shared" si="25"/>
        <v>http://www.dailygammon.com/bg/invite/new?submit=invite&amp;variant=1&amp;length=11&amp;time_control=12&amp;name=</v>
      </c>
      <c r="X131" s="2" t="str">
        <f t="shared" si="26"/>
        <v>33rd-season-left</v>
      </c>
      <c r="Y131" s="12" t="str">
        <f t="shared" si="27"/>
        <v>invite JuliaH</v>
      </c>
      <c r="Z131" s="3" t="str">
        <f t="shared" si="28"/>
        <v>http://www.dailygammon.com/bg/invite/new?submit=invite&amp;variant=1&amp;length=11&amp;time_control=12&amp;name=33rd-season-left&amp;player=23996</v>
      </c>
      <c r="AA131" s="3" t="s">
        <v>617</v>
      </c>
      <c r="AB131" s="3" t="str">
        <f t="shared" si="29"/>
        <v>invite JuliaH</v>
      </c>
    </row>
    <row r="132" spans="1:28" hidden="1" x14ac:dyDescent="0.35">
      <c r="A132" s="2" t="s">
        <v>1005</v>
      </c>
      <c r="B132" s="51" t="str">
        <f>VLOOKUP(J132,Tabelle1!A:B,2,FALSE)</f>
        <v>left</v>
      </c>
      <c r="C132" s="2">
        <v>33</v>
      </c>
      <c r="D132" s="51" t="s">
        <v>1012</v>
      </c>
      <c r="E132" s="11" t="str">
        <f t="shared" si="24"/>
        <v>left</v>
      </c>
      <c r="G132" s="2" t="s">
        <v>54</v>
      </c>
      <c r="J132" s="3" t="s">
        <v>12</v>
      </c>
      <c r="K132" s="3">
        <v>28532</v>
      </c>
      <c r="L132" s="2" t="s">
        <v>87</v>
      </c>
      <c r="N132" s="3" t="s">
        <v>88</v>
      </c>
      <c r="O132" s="3"/>
      <c r="P132" s="3"/>
      <c r="T132" s="2">
        <v>1</v>
      </c>
      <c r="U132" s="2">
        <v>11</v>
      </c>
      <c r="V132" s="2">
        <v>12</v>
      </c>
      <c r="W132" s="1" t="str">
        <f t="shared" si="25"/>
        <v>http://www.dailygammon.com/bg/invite/new?submit=invite&amp;variant=1&amp;length=11&amp;time_control=12&amp;name=</v>
      </c>
      <c r="X132" s="2" t="str">
        <f t="shared" si="26"/>
        <v>33rd-season-left</v>
      </c>
      <c r="Y132" s="12" t="str">
        <f t="shared" si="27"/>
        <v>invite putney</v>
      </c>
      <c r="Z132" s="3" t="str">
        <f t="shared" si="28"/>
        <v>http://www.dailygammon.com/bg/invite/new?submit=invite&amp;variant=1&amp;length=11&amp;time_control=12&amp;name=33rd-season-left&amp;player=28532</v>
      </c>
      <c r="AA132" s="3" t="s">
        <v>617</v>
      </c>
      <c r="AB132" s="3" t="str">
        <f t="shared" si="29"/>
        <v>invite putney</v>
      </c>
    </row>
    <row r="133" spans="1:28" hidden="1" x14ac:dyDescent="0.35">
      <c r="A133" s="2" t="s">
        <v>1003</v>
      </c>
      <c r="B133" s="51" t="str">
        <f>VLOOKUP(J133,Tabelle1!A:B,2,FALSE)</f>
        <v>left</v>
      </c>
      <c r="C133" s="2">
        <v>33</v>
      </c>
      <c r="D133" s="51" t="s">
        <v>1012</v>
      </c>
      <c r="E133" s="11" t="str">
        <f t="shared" si="24"/>
        <v>left</v>
      </c>
      <c r="G133" s="2" t="s">
        <v>54</v>
      </c>
      <c r="J133" s="3" t="s">
        <v>9</v>
      </c>
      <c r="K133" s="3">
        <v>23532</v>
      </c>
      <c r="L133" s="2" t="s">
        <v>145</v>
      </c>
      <c r="M133" s="2" t="s">
        <v>147</v>
      </c>
      <c r="N133" s="3" t="s">
        <v>140</v>
      </c>
      <c r="O133" s="3"/>
      <c r="P133" s="3"/>
      <c r="Q133" s="2" t="s">
        <v>141</v>
      </c>
      <c r="T133" s="2">
        <v>1</v>
      </c>
      <c r="U133" s="2">
        <v>11</v>
      </c>
      <c r="V133" s="2">
        <v>12</v>
      </c>
      <c r="W133" s="1" t="str">
        <f t="shared" si="25"/>
        <v>http://www.dailygammon.com/bg/invite/new?submit=invite&amp;variant=1&amp;length=11&amp;time_control=12&amp;name=</v>
      </c>
      <c r="X133" s="2" t="str">
        <f t="shared" si="26"/>
        <v>33rd-season-left</v>
      </c>
      <c r="Y133" s="12" t="str">
        <f t="shared" si="27"/>
        <v>invite tibid</v>
      </c>
      <c r="Z133" s="3" t="str">
        <f t="shared" si="28"/>
        <v>http://www.dailygammon.com/bg/invite/new?submit=invite&amp;variant=1&amp;length=11&amp;time_control=12&amp;name=33rd-season-left&amp;player=23532</v>
      </c>
      <c r="AA133" s="3" t="s">
        <v>617</v>
      </c>
      <c r="AB133" s="3" t="str">
        <f t="shared" si="29"/>
        <v>invite tibid</v>
      </c>
    </row>
    <row r="134" spans="1:28" ht="14.4" hidden="1" customHeight="1" x14ac:dyDescent="0.35">
      <c r="A134" s="4" t="s">
        <v>1003</v>
      </c>
      <c r="B134" s="51" t="str">
        <f>VLOOKUP(J134,Tabelle1!A:B,2,FALSE)</f>
        <v>left</v>
      </c>
      <c r="C134" s="2">
        <v>33</v>
      </c>
      <c r="D134" s="51" t="s">
        <v>1012</v>
      </c>
      <c r="E134" s="11" t="str">
        <f t="shared" si="24"/>
        <v>left</v>
      </c>
      <c r="G134" s="2" t="s">
        <v>54</v>
      </c>
      <c r="J134" s="37" t="s">
        <v>909</v>
      </c>
      <c r="K134" s="3">
        <v>41076</v>
      </c>
      <c r="L134" s="2" t="s">
        <v>912</v>
      </c>
      <c r="M134" s="2" t="s">
        <v>913</v>
      </c>
      <c r="N134" s="1" t="s">
        <v>911</v>
      </c>
      <c r="Q134" s="2" t="s">
        <v>914</v>
      </c>
      <c r="S134" s="4" t="s">
        <v>910</v>
      </c>
      <c r="T134" s="2">
        <v>1</v>
      </c>
      <c r="U134" s="2">
        <v>11</v>
      </c>
      <c r="V134" s="2">
        <v>12</v>
      </c>
      <c r="W134" s="1" t="str">
        <f t="shared" si="25"/>
        <v>http://www.dailygammon.com/bg/invite/new?submit=invite&amp;variant=1&amp;length=11&amp;time_control=12&amp;name=</v>
      </c>
      <c r="X134" s="2" t="str">
        <f t="shared" si="26"/>
        <v>33rd-season-left</v>
      </c>
      <c r="Y134" s="12" t="str">
        <f t="shared" si="27"/>
        <v>invite WolfE1963</v>
      </c>
      <c r="Z134" s="3" t="str">
        <f t="shared" si="28"/>
        <v>http://www.dailygammon.com/bg/invite/new?submit=invite&amp;variant=1&amp;length=11&amp;time_control=12&amp;name=33rd-season-left&amp;player=41076</v>
      </c>
      <c r="AA134" s="3" t="s">
        <v>617</v>
      </c>
      <c r="AB134" s="3" t="str">
        <f t="shared" si="29"/>
        <v>invite WolfE1963</v>
      </c>
    </row>
    <row r="135" spans="1:28" ht="14.4" hidden="1" customHeight="1" x14ac:dyDescent="0.35">
      <c r="A135" s="2" t="s">
        <v>1004</v>
      </c>
      <c r="B135" s="51" t="str">
        <f>VLOOKUP(J135,Tabelle1!A:B,2,FALSE)</f>
        <v>left</v>
      </c>
      <c r="C135" s="2">
        <v>33</v>
      </c>
      <c r="D135" s="51" t="s">
        <v>1012</v>
      </c>
      <c r="E135" s="11" t="str">
        <f t="shared" si="24"/>
        <v>left</v>
      </c>
      <c r="G135" s="2" t="s">
        <v>54</v>
      </c>
      <c r="H135" s="2" t="s">
        <v>54</v>
      </c>
      <c r="J135" s="37" t="s">
        <v>824</v>
      </c>
      <c r="K135" s="3">
        <v>40111</v>
      </c>
      <c r="N135" s="3" t="s">
        <v>825</v>
      </c>
      <c r="S135" s="2" t="s">
        <v>816</v>
      </c>
      <c r="T135" s="2">
        <v>1</v>
      </c>
      <c r="U135" s="2">
        <v>11</v>
      </c>
      <c r="V135" s="2">
        <v>12</v>
      </c>
      <c r="W135" s="1" t="str">
        <f t="shared" si="25"/>
        <v>http://www.dailygammon.com/bg/invite/new?submit=invite&amp;variant=1&amp;length=11&amp;time_control=12&amp;name=</v>
      </c>
      <c r="X135" s="2" t="str">
        <f t="shared" si="26"/>
        <v>33rd-season-left</v>
      </c>
      <c r="Y135" s="12" t="str">
        <f t="shared" si="27"/>
        <v>invite XxoolixX</v>
      </c>
      <c r="Z135" s="3" t="str">
        <f t="shared" si="28"/>
        <v>http://www.dailygammon.com/bg/invite/new?submit=invite&amp;variant=1&amp;length=11&amp;time_control=12&amp;name=33rd-season-left&amp;player=40111</v>
      </c>
      <c r="AA135" s="3" t="s">
        <v>617</v>
      </c>
      <c r="AB135" s="3" t="str">
        <f t="shared" si="29"/>
        <v>invite XxoolixX</v>
      </c>
    </row>
    <row r="136" spans="1:28" hidden="1" x14ac:dyDescent="0.35">
      <c r="B136" s="51" t="e">
        <f>VLOOKUP(J136,Tabelle1!A:B,2,FALSE)</f>
        <v>#N/A</v>
      </c>
      <c r="D136" s="51" t="e">
        <v>#N/A</v>
      </c>
      <c r="E136" s="11" t="e">
        <f t="shared" si="24"/>
        <v>#N/A</v>
      </c>
      <c r="G136" s="2" t="s">
        <v>54</v>
      </c>
      <c r="J136" s="3" t="s">
        <v>418</v>
      </c>
      <c r="K136" s="3">
        <v>37328</v>
      </c>
      <c r="L136" s="2" t="s">
        <v>419</v>
      </c>
      <c r="N136" s="3" t="s">
        <v>417</v>
      </c>
      <c r="Q136" s="2" t="s">
        <v>420</v>
      </c>
      <c r="S136" s="2" t="s">
        <v>421</v>
      </c>
      <c r="T136" s="2">
        <v>1</v>
      </c>
      <c r="U136" s="2">
        <v>11</v>
      </c>
      <c r="V136" s="2">
        <v>12</v>
      </c>
      <c r="W136" s="1" t="str">
        <f t="shared" si="25"/>
        <v>http://www.dailygammon.com/bg/invite/new?submit=invite&amp;variant=1&amp;length=11&amp;time_control=12&amp;name=</v>
      </c>
      <c r="X136" s="2" t="str">
        <f t="shared" si="26"/>
        <v>Wrong%20invitation</v>
      </c>
      <c r="Y136" s="12" t="str">
        <f t="shared" si="27"/>
        <v>Wrong invitation</v>
      </c>
      <c r="Z136" s="3" t="str">
        <f t="shared" si="28"/>
        <v/>
      </c>
      <c r="AA136" s="3" t="s">
        <v>617</v>
      </c>
      <c r="AB136" s="3" t="str">
        <f t="shared" si="29"/>
        <v>Wrong invitation</v>
      </c>
    </row>
    <row r="137" spans="1:28" hidden="1" x14ac:dyDescent="0.35">
      <c r="B137" s="51" t="e">
        <f>VLOOKUP(J137,Tabelle1!A:B,2,FALSE)</f>
        <v>#N/A</v>
      </c>
      <c r="D137" s="51" t="e">
        <v>#N/A</v>
      </c>
      <c r="E137" s="11" t="e">
        <f t="shared" si="24"/>
        <v>#N/A</v>
      </c>
      <c r="G137" s="2" t="s">
        <v>54</v>
      </c>
      <c r="J137" s="3" t="s">
        <v>8</v>
      </c>
      <c r="K137" s="3">
        <v>25562</v>
      </c>
      <c r="L137" s="2" t="s">
        <v>80</v>
      </c>
      <c r="M137" s="2" t="s">
        <v>81</v>
      </c>
      <c r="N137" s="3" t="s">
        <v>366</v>
      </c>
      <c r="O137" s="3" t="s">
        <v>79</v>
      </c>
      <c r="P137" s="3"/>
      <c r="Q137" s="2" t="s">
        <v>597</v>
      </c>
      <c r="T137" s="2">
        <v>1</v>
      </c>
      <c r="U137" s="2">
        <v>11</v>
      </c>
      <c r="V137" s="2">
        <v>12</v>
      </c>
      <c r="W137" s="1" t="str">
        <f t="shared" si="25"/>
        <v>http://www.dailygammon.com/bg/invite/new?submit=invite&amp;variant=1&amp;length=11&amp;time_control=12&amp;name=</v>
      </c>
      <c r="X137" s="2" t="str">
        <f t="shared" si="26"/>
        <v>Wrong%20invitation</v>
      </c>
      <c r="Y137" s="12" t="str">
        <f t="shared" si="27"/>
        <v>Wrong invitation</v>
      </c>
      <c r="Z137" s="3" t="str">
        <f t="shared" si="28"/>
        <v/>
      </c>
      <c r="AA137" s="3" t="s">
        <v>617</v>
      </c>
      <c r="AB137" s="3" t="str">
        <f t="shared" si="29"/>
        <v>Wrong invitation</v>
      </c>
    </row>
    <row r="138" spans="1:28" ht="14.4" hidden="1" customHeight="1" x14ac:dyDescent="0.35">
      <c r="B138" s="51" t="e">
        <f>VLOOKUP(J138,Tabelle1!A:B,2,FALSE)</f>
        <v>#N/A</v>
      </c>
      <c r="D138" s="51" t="e">
        <v>#N/A</v>
      </c>
      <c r="E138" s="11" t="e">
        <f t="shared" si="24"/>
        <v>#N/A</v>
      </c>
      <c r="G138" s="2" t="s">
        <v>54</v>
      </c>
      <c r="J138" s="3" t="s">
        <v>10</v>
      </c>
      <c r="K138" s="3">
        <v>8171</v>
      </c>
      <c r="L138" s="2" t="s">
        <v>26</v>
      </c>
      <c r="M138" s="2" t="s">
        <v>144</v>
      </c>
      <c r="N138" s="3" t="s">
        <v>142</v>
      </c>
      <c r="O138" s="3"/>
      <c r="P138" s="3"/>
      <c r="Q138" s="2" t="s">
        <v>143</v>
      </c>
      <c r="T138" s="2">
        <v>1</v>
      </c>
      <c r="U138" s="2">
        <v>11</v>
      </c>
      <c r="V138" s="2">
        <v>12</v>
      </c>
      <c r="W138" s="1" t="str">
        <f t="shared" si="25"/>
        <v>http://www.dailygammon.com/bg/invite/new?submit=invite&amp;variant=1&amp;length=11&amp;time_control=12&amp;name=</v>
      </c>
      <c r="X138" s="2" t="str">
        <f t="shared" si="26"/>
        <v>Wrong%20invitation</v>
      </c>
      <c r="Y138" s="12" t="str">
        <f t="shared" si="27"/>
        <v>Wrong invitation</v>
      </c>
      <c r="Z138" s="3" t="str">
        <f t="shared" si="28"/>
        <v/>
      </c>
      <c r="AA138" s="3" t="s">
        <v>617</v>
      </c>
      <c r="AB138" s="3" t="str">
        <f t="shared" si="29"/>
        <v>Wrong invitation</v>
      </c>
    </row>
    <row r="139" spans="1:28" hidden="1" x14ac:dyDescent="0.35">
      <c r="B139" s="51" t="e">
        <f>VLOOKUP(J139,Tabelle1!A:B,2,FALSE)</f>
        <v>#N/A</v>
      </c>
      <c r="C139" s="19"/>
      <c r="D139" s="51" t="e">
        <v>#N/A</v>
      </c>
      <c r="E139" s="11" t="e">
        <f t="shared" si="24"/>
        <v>#N/A</v>
      </c>
      <c r="G139" s="2" t="s">
        <v>54</v>
      </c>
      <c r="J139" s="3" t="s">
        <v>424</v>
      </c>
      <c r="K139" s="3">
        <v>32831</v>
      </c>
      <c r="L139" s="2" t="s">
        <v>741</v>
      </c>
      <c r="N139" s="3" t="s">
        <v>423</v>
      </c>
      <c r="O139" s="3" t="s">
        <v>453</v>
      </c>
      <c r="P139" s="3"/>
      <c r="S139" s="2" t="s">
        <v>511</v>
      </c>
      <c r="T139" s="2">
        <v>1</v>
      </c>
      <c r="U139" s="2">
        <v>11</v>
      </c>
      <c r="V139" s="2">
        <v>12</v>
      </c>
      <c r="W139" s="1" t="str">
        <f t="shared" si="25"/>
        <v>http://www.dailygammon.com/bg/invite/new?submit=invite&amp;variant=1&amp;length=11&amp;time_control=12&amp;name=</v>
      </c>
      <c r="X139" s="2" t="str">
        <f t="shared" si="26"/>
        <v>Wrong%20invitation</v>
      </c>
      <c r="Y139" s="12" t="str">
        <f t="shared" si="27"/>
        <v>Wrong invitation</v>
      </c>
      <c r="Z139" s="3" t="str">
        <f t="shared" si="28"/>
        <v/>
      </c>
      <c r="AA139" s="3" t="s">
        <v>617</v>
      </c>
      <c r="AB139" s="3" t="str">
        <f t="shared" si="29"/>
        <v>Wrong invitation</v>
      </c>
    </row>
    <row r="140" spans="1:28" hidden="1" x14ac:dyDescent="0.35">
      <c r="B140" s="51" t="e">
        <f>VLOOKUP(J140,Tabelle1!A:B,2,FALSE)</f>
        <v>#N/A</v>
      </c>
      <c r="D140" s="51" t="e">
        <v>#N/A</v>
      </c>
      <c r="E140" s="11" t="e">
        <f t="shared" si="24"/>
        <v>#N/A</v>
      </c>
      <c r="G140" s="2" t="s">
        <v>54</v>
      </c>
      <c r="J140" s="3" t="s">
        <v>385</v>
      </c>
      <c r="K140" s="2">
        <v>21218</v>
      </c>
      <c r="L140" s="2" t="s">
        <v>122</v>
      </c>
      <c r="N140" s="2" t="s">
        <v>292</v>
      </c>
      <c r="O140" s="3" t="s">
        <v>369</v>
      </c>
      <c r="P140" s="3"/>
      <c r="Q140" s="2" t="s">
        <v>123</v>
      </c>
      <c r="S140" s="2" t="s">
        <v>587</v>
      </c>
      <c r="T140" s="2">
        <v>1</v>
      </c>
      <c r="U140" s="2">
        <v>11</v>
      </c>
      <c r="V140" s="2">
        <v>12</v>
      </c>
      <c r="W140" s="1" t="str">
        <f t="shared" si="25"/>
        <v>http://www.dailygammon.com/bg/invite/new?submit=invite&amp;variant=1&amp;length=11&amp;time_control=12&amp;name=</v>
      </c>
      <c r="X140" s="2" t="str">
        <f t="shared" si="26"/>
        <v>Wrong%20invitation</v>
      </c>
      <c r="Y140" s="12" t="str">
        <f t="shared" si="27"/>
        <v>Wrong invitation</v>
      </c>
      <c r="Z140" s="3" t="str">
        <f t="shared" si="28"/>
        <v/>
      </c>
      <c r="AA140" s="3" t="s">
        <v>617</v>
      </c>
      <c r="AB140" s="3" t="str">
        <f t="shared" si="29"/>
        <v>Wrong invitation</v>
      </c>
    </row>
    <row r="141" spans="1:28" hidden="1" x14ac:dyDescent="0.35">
      <c r="B141" s="51" t="e">
        <f>VLOOKUP(J141,Tabelle1!A:B,2,FALSE)</f>
        <v>#N/A</v>
      </c>
      <c r="D141" s="51" t="e">
        <v>#N/A</v>
      </c>
      <c r="E141" s="11" t="e">
        <f t="shared" si="24"/>
        <v>#N/A</v>
      </c>
      <c r="G141" s="2" t="s">
        <v>54</v>
      </c>
      <c r="J141" s="3" t="s">
        <v>242</v>
      </c>
      <c r="K141" s="3">
        <v>20006</v>
      </c>
      <c r="L141" s="2" t="s">
        <v>241</v>
      </c>
      <c r="M141" s="2" t="s">
        <v>838</v>
      </c>
      <c r="N141" s="3" t="s">
        <v>243</v>
      </c>
      <c r="Q141" s="2" t="s">
        <v>244</v>
      </c>
      <c r="T141" s="2">
        <v>1</v>
      </c>
      <c r="U141" s="2">
        <v>11</v>
      </c>
      <c r="V141" s="2">
        <v>12</v>
      </c>
      <c r="W141" s="1" t="str">
        <f t="shared" si="25"/>
        <v>http://www.dailygammon.com/bg/invite/new?submit=invite&amp;variant=1&amp;length=11&amp;time_control=12&amp;name=</v>
      </c>
      <c r="X141" s="2" t="str">
        <f t="shared" si="26"/>
        <v>Wrong%20invitation</v>
      </c>
      <c r="Y141" s="12" t="str">
        <f t="shared" si="27"/>
        <v>Wrong invitation</v>
      </c>
      <c r="Z141" s="3" t="str">
        <f t="shared" si="28"/>
        <v/>
      </c>
      <c r="AA141" s="3" t="s">
        <v>617</v>
      </c>
      <c r="AB141" s="3" t="str">
        <f t="shared" si="29"/>
        <v>Wrong invitation</v>
      </c>
    </row>
    <row r="142" spans="1:28" hidden="1" x14ac:dyDescent="0.35">
      <c r="B142" s="51" t="e">
        <f>VLOOKUP(J142,Tabelle1!A:B,2,FALSE)</f>
        <v>#N/A</v>
      </c>
      <c r="C142" s="19"/>
      <c r="D142" s="51" t="e">
        <v>#N/A</v>
      </c>
      <c r="E142" s="11" t="e">
        <f t="shared" si="24"/>
        <v>#N/A</v>
      </c>
      <c r="G142" s="2" t="s">
        <v>54</v>
      </c>
      <c r="J142" s="3" t="s">
        <v>787</v>
      </c>
      <c r="K142" s="3">
        <v>34182</v>
      </c>
      <c r="L142" s="2" t="s">
        <v>788</v>
      </c>
      <c r="M142" s="2" t="s">
        <v>789</v>
      </c>
      <c r="N142" s="3" t="s">
        <v>790</v>
      </c>
      <c r="Q142" s="2" t="s">
        <v>801</v>
      </c>
      <c r="S142" s="2" t="s">
        <v>791</v>
      </c>
      <c r="T142" s="2">
        <v>1</v>
      </c>
      <c r="U142" s="2">
        <v>11</v>
      </c>
      <c r="V142" s="2">
        <v>12</v>
      </c>
      <c r="W142" s="1" t="str">
        <f t="shared" si="25"/>
        <v>http://www.dailygammon.com/bg/invite/new?submit=invite&amp;variant=1&amp;length=11&amp;time_control=12&amp;name=</v>
      </c>
      <c r="X142" s="2" t="str">
        <f t="shared" si="26"/>
        <v>Wrong%20invitation</v>
      </c>
      <c r="Y142" s="12" t="str">
        <f t="shared" si="27"/>
        <v>Wrong invitation</v>
      </c>
      <c r="Z142" s="3" t="str">
        <f t="shared" si="28"/>
        <v/>
      </c>
      <c r="AA142" s="3" t="s">
        <v>617</v>
      </c>
      <c r="AB142" s="3" t="str">
        <f t="shared" si="29"/>
        <v>Wrong invitation</v>
      </c>
    </row>
    <row r="143" spans="1:28" hidden="1" x14ac:dyDescent="0.35">
      <c r="B143" s="51" t="e">
        <f>VLOOKUP(J143,Tabelle1!A:B,2,FALSE)</f>
        <v>#N/A</v>
      </c>
      <c r="C143" s="19"/>
      <c r="D143" s="51" t="e">
        <v>#N/A</v>
      </c>
      <c r="E143" s="11" t="e">
        <f t="shared" si="24"/>
        <v>#N/A</v>
      </c>
      <c r="G143" s="2" t="s">
        <v>54</v>
      </c>
      <c r="J143" s="3" t="s">
        <v>408</v>
      </c>
      <c r="K143" s="3">
        <v>17801</v>
      </c>
      <c r="L143" s="2" t="s">
        <v>409</v>
      </c>
      <c r="M143" s="2" t="s">
        <v>870</v>
      </c>
      <c r="N143" s="3" t="s">
        <v>415</v>
      </c>
      <c r="Q143" s="2" t="s">
        <v>410</v>
      </c>
      <c r="T143" s="2">
        <v>1</v>
      </c>
      <c r="U143" s="2">
        <v>11</v>
      </c>
      <c r="V143" s="2">
        <v>12</v>
      </c>
      <c r="W143" s="1" t="str">
        <f t="shared" si="25"/>
        <v>http://www.dailygammon.com/bg/invite/new?submit=invite&amp;variant=1&amp;length=11&amp;time_control=12&amp;name=</v>
      </c>
      <c r="X143" s="2" t="str">
        <f t="shared" si="26"/>
        <v>Wrong%20invitation</v>
      </c>
      <c r="Y143" s="12" t="str">
        <f t="shared" si="27"/>
        <v>Wrong invitation</v>
      </c>
      <c r="Z143" s="3" t="str">
        <f t="shared" si="28"/>
        <v/>
      </c>
      <c r="AA143" s="3" t="s">
        <v>617</v>
      </c>
      <c r="AB143" s="3" t="str">
        <f t="shared" si="29"/>
        <v>Wrong invitation</v>
      </c>
    </row>
    <row r="144" spans="1:28" hidden="1" x14ac:dyDescent="0.35">
      <c r="B144" s="51" t="e">
        <f>VLOOKUP(J144,Tabelle1!A:B,2,FALSE)</f>
        <v>#N/A</v>
      </c>
      <c r="D144" s="51" t="e">
        <v>#N/A</v>
      </c>
      <c r="E144" s="11" t="e">
        <f t="shared" si="24"/>
        <v>#N/A</v>
      </c>
      <c r="G144" s="2" t="s">
        <v>54</v>
      </c>
      <c r="J144" s="3" t="s">
        <v>773</v>
      </c>
      <c r="K144" s="3">
        <v>19078</v>
      </c>
      <c r="S144" s="2" t="s">
        <v>776</v>
      </c>
      <c r="T144" s="2">
        <v>1</v>
      </c>
      <c r="U144" s="2">
        <v>11</v>
      </c>
      <c r="V144" s="2">
        <v>12</v>
      </c>
      <c r="W144" s="1" t="str">
        <f t="shared" si="25"/>
        <v>http://www.dailygammon.com/bg/invite/new?submit=invite&amp;variant=1&amp;length=11&amp;time_control=12&amp;name=</v>
      </c>
      <c r="X144" s="2" t="str">
        <f t="shared" si="26"/>
        <v>Wrong%20invitation</v>
      </c>
      <c r="Y144" s="12" t="str">
        <f t="shared" si="27"/>
        <v>Wrong invitation</v>
      </c>
      <c r="Z144" s="3" t="str">
        <f t="shared" si="28"/>
        <v/>
      </c>
      <c r="AA144" s="3" t="s">
        <v>617</v>
      </c>
      <c r="AB144" s="3" t="str">
        <f t="shared" si="29"/>
        <v>Wrong invitation</v>
      </c>
    </row>
    <row r="145" spans="1:28" hidden="1" x14ac:dyDescent="0.35">
      <c r="A145" s="2" t="s">
        <v>907</v>
      </c>
      <c r="B145" s="51" t="e">
        <f>VLOOKUP(J145,Tabelle1!A:B,2,FALSE)</f>
        <v>#N/A</v>
      </c>
      <c r="D145" s="51" t="e">
        <v>#N/A</v>
      </c>
      <c r="E145" s="11" t="e">
        <f t="shared" si="24"/>
        <v>#N/A</v>
      </c>
      <c r="G145" s="2" t="s">
        <v>54</v>
      </c>
      <c r="J145" s="3" t="s">
        <v>695</v>
      </c>
      <c r="K145" s="3">
        <v>36594</v>
      </c>
      <c r="L145" s="2" t="s">
        <v>698</v>
      </c>
      <c r="N145" s="3" t="s">
        <v>697</v>
      </c>
      <c r="Q145" s="2" t="s">
        <v>696</v>
      </c>
      <c r="S145" s="2" t="s">
        <v>804</v>
      </c>
      <c r="T145" s="2">
        <v>1</v>
      </c>
      <c r="U145" s="2">
        <v>11</v>
      </c>
      <c r="V145" s="2">
        <v>12</v>
      </c>
      <c r="W145" s="1" t="str">
        <f t="shared" si="25"/>
        <v>http://www.dailygammon.com/bg/invite/new?submit=invite&amp;variant=1&amp;length=11&amp;time_control=12&amp;name=</v>
      </c>
      <c r="X145" s="2" t="str">
        <f t="shared" si="26"/>
        <v>Wrong%20invitation</v>
      </c>
      <c r="Y145" s="12" t="str">
        <f t="shared" si="27"/>
        <v>Wrong invitation</v>
      </c>
      <c r="Z145" s="3" t="str">
        <f t="shared" si="28"/>
        <v/>
      </c>
      <c r="AA145" s="3" t="s">
        <v>617</v>
      </c>
      <c r="AB145" s="3" t="str">
        <f t="shared" si="29"/>
        <v>Wrong invitation</v>
      </c>
    </row>
    <row r="146" spans="1:28" hidden="1" x14ac:dyDescent="0.35">
      <c r="A146" s="2" t="s">
        <v>892</v>
      </c>
      <c r="B146" s="51" t="e">
        <f>VLOOKUP(J146,Tabelle1!A:B,2,FALSE)</f>
        <v>#N/A</v>
      </c>
      <c r="D146" s="51" t="e">
        <v>#N/A</v>
      </c>
      <c r="E146" s="11" t="e">
        <f t="shared" si="24"/>
        <v>#N/A</v>
      </c>
      <c r="G146" s="2" t="s">
        <v>54</v>
      </c>
      <c r="J146" s="37" t="s">
        <v>864</v>
      </c>
      <c r="K146" s="3">
        <v>313</v>
      </c>
      <c r="N146" s="3" t="s">
        <v>865</v>
      </c>
      <c r="S146" s="4" t="s">
        <v>863</v>
      </c>
      <c r="T146" s="2">
        <v>1</v>
      </c>
      <c r="U146" s="2">
        <v>11</v>
      </c>
      <c r="V146" s="2">
        <v>12</v>
      </c>
      <c r="W146" s="1" t="str">
        <f t="shared" si="25"/>
        <v>http://www.dailygammon.com/bg/invite/new?submit=invite&amp;variant=1&amp;length=11&amp;time_control=12&amp;name=</v>
      </c>
      <c r="X146" s="2" t="str">
        <f t="shared" si="26"/>
        <v>Wrong%20invitation</v>
      </c>
      <c r="Y146" s="12" t="str">
        <f t="shared" si="27"/>
        <v>Wrong invitation</v>
      </c>
      <c r="Z146" s="3" t="str">
        <f t="shared" si="28"/>
        <v/>
      </c>
      <c r="AA146" s="3" t="s">
        <v>617</v>
      </c>
      <c r="AB146" s="3" t="str">
        <f t="shared" si="29"/>
        <v>Wrong invitation</v>
      </c>
    </row>
    <row r="147" spans="1:28" hidden="1" x14ac:dyDescent="0.35">
      <c r="A147" s="2" t="s">
        <v>892</v>
      </c>
      <c r="B147" s="51" t="e">
        <f>VLOOKUP(J147,Tabelle1!A:B,2,FALSE)</f>
        <v>#N/A</v>
      </c>
      <c r="D147" s="51" t="e">
        <v>#N/A</v>
      </c>
      <c r="E147" s="11" t="e">
        <f t="shared" si="24"/>
        <v>#N/A</v>
      </c>
      <c r="G147" s="2" t="s">
        <v>54</v>
      </c>
      <c r="J147" s="37" t="s">
        <v>876</v>
      </c>
      <c r="K147" s="3">
        <v>28142</v>
      </c>
      <c r="N147" s="1" t="s">
        <v>881</v>
      </c>
      <c r="Q147" s="2" t="s">
        <v>878</v>
      </c>
      <c r="S147" s="2" t="s">
        <v>877</v>
      </c>
      <c r="T147" s="2">
        <v>1</v>
      </c>
      <c r="U147" s="2">
        <v>11</v>
      </c>
      <c r="V147" s="2">
        <v>12</v>
      </c>
      <c r="W147" s="1" t="str">
        <f t="shared" si="25"/>
        <v>http://www.dailygammon.com/bg/invite/new?submit=invite&amp;variant=1&amp;length=11&amp;time_control=12&amp;name=</v>
      </c>
      <c r="X147" s="2" t="str">
        <f t="shared" si="26"/>
        <v>Wrong%20invitation</v>
      </c>
      <c r="Y147" s="12" t="str">
        <f t="shared" si="27"/>
        <v>Wrong invitation</v>
      </c>
      <c r="Z147" s="3" t="str">
        <f t="shared" si="28"/>
        <v/>
      </c>
      <c r="AA147" s="3" t="s">
        <v>617</v>
      </c>
      <c r="AB147" s="3" t="str">
        <f t="shared" si="29"/>
        <v>Wrong invitation</v>
      </c>
    </row>
    <row r="148" spans="1:28" hidden="1" x14ac:dyDescent="0.35">
      <c r="B148" s="51" t="e">
        <f>VLOOKUP(J148,Tabelle1!A:B,2,FALSE)</f>
        <v>#N/A</v>
      </c>
      <c r="D148" s="51" t="e">
        <v>#N/A</v>
      </c>
      <c r="E148" s="11" t="e">
        <f t="shared" si="24"/>
        <v>#N/A</v>
      </c>
      <c r="G148" s="2" t="s">
        <v>54</v>
      </c>
      <c r="J148" s="6" t="s">
        <v>476</v>
      </c>
      <c r="K148" s="3">
        <v>22385</v>
      </c>
      <c r="N148" s="3" t="s">
        <v>485</v>
      </c>
      <c r="S148" s="3"/>
      <c r="T148" s="2">
        <v>1</v>
      </c>
      <c r="U148" s="2">
        <v>11</v>
      </c>
      <c r="V148" s="2">
        <v>12</v>
      </c>
      <c r="W148" s="1" t="str">
        <f t="shared" si="25"/>
        <v>http://www.dailygammon.com/bg/invite/new?submit=invite&amp;variant=1&amp;length=11&amp;time_control=12&amp;name=</v>
      </c>
      <c r="X148" s="2" t="str">
        <f t="shared" si="26"/>
        <v>Wrong%20invitation</v>
      </c>
      <c r="Y148" s="12" t="str">
        <f t="shared" si="27"/>
        <v>Wrong invitation</v>
      </c>
      <c r="Z148" s="3" t="str">
        <f t="shared" si="28"/>
        <v/>
      </c>
      <c r="AA148" s="3" t="s">
        <v>617</v>
      </c>
      <c r="AB148" s="3" t="str">
        <f t="shared" si="29"/>
        <v>Wrong invitation</v>
      </c>
    </row>
    <row r="149" spans="1:28" hidden="1" x14ac:dyDescent="0.35">
      <c r="B149" s="51" t="e">
        <f>VLOOKUP(J149,Tabelle1!A:B,2,FALSE)</f>
        <v>#N/A</v>
      </c>
      <c r="D149" s="51" t="e">
        <v>#N/A</v>
      </c>
      <c r="E149" s="11" t="e">
        <f t="shared" si="24"/>
        <v>#N/A</v>
      </c>
      <c r="G149" s="2" t="s">
        <v>54</v>
      </c>
      <c r="J149" s="3" t="s">
        <v>588</v>
      </c>
      <c r="K149" s="3">
        <v>3387</v>
      </c>
      <c r="L149" s="2" t="s">
        <v>593</v>
      </c>
      <c r="N149" s="3" t="s">
        <v>594</v>
      </c>
      <c r="Q149" s="2" t="s">
        <v>595</v>
      </c>
      <c r="S149" s="2" t="s">
        <v>596</v>
      </c>
      <c r="T149" s="2">
        <v>1</v>
      </c>
      <c r="U149" s="2">
        <v>11</v>
      </c>
      <c r="V149" s="2">
        <v>12</v>
      </c>
      <c r="W149" s="1" t="str">
        <f t="shared" si="25"/>
        <v>http://www.dailygammon.com/bg/invite/new?submit=invite&amp;variant=1&amp;length=11&amp;time_control=12&amp;name=</v>
      </c>
      <c r="X149" s="2" t="str">
        <f t="shared" si="26"/>
        <v>Wrong%20invitation</v>
      </c>
      <c r="Y149" s="12" t="str">
        <f t="shared" si="27"/>
        <v>Wrong invitation</v>
      </c>
      <c r="Z149" s="3" t="str">
        <f t="shared" si="28"/>
        <v/>
      </c>
      <c r="AA149" s="3" t="s">
        <v>617</v>
      </c>
      <c r="AB149" s="3" t="str">
        <f t="shared" si="29"/>
        <v>Wrong invitation</v>
      </c>
    </row>
    <row r="150" spans="1:28" hidden="1" x14ac:dyDescent="0.35">
      <c r="B150" s="51" t="e">
        <f>VLOOKUP(J150,Tabelle1!A:B,2,FALSE)</f>
        <v>#N/A</v>
      </c>
      <c r="D150" s="51" t="e">
        <v>#N/A</v>
      </c>
      <c r="E150" s="11" t="e">
        <f t="shared" si="24"/>
        <v>#N/A</v>
      </c>
      <c r="G150" s="2" t="s">
        <v>54</v>
      </c>
      <c r="J150" s="3" t="s">
        <v>288</v>
      </c>
      <c r="K150" s="3">
        <v>579</v>
      </c>
      <c r="L150" s="2" t="s">
        <v>293</v>
      </c>
      <c r="N150" s="3" t="s">
        <v>289</v>
      </c>
      <c r="O150" s="3"/>
      <c r="P150" s="3"/>
      <c r="Q150" s="2" t="s">
        <v>290</v>
      </c>
      <c r="R150" s="2" t="s">
        <v>683</v>
      </c>
      <c r="T150" s="2">
        <v>1</v>
      </c>
      <c r="U150" s="2">
        <v>11</v>
      </c>
      <c r="V150" s="2">
        <v>12</v>
      </c>
      <c r="W150" s="1" t="str">
        <f t="shared" si="25"/>
        <v>http://www.dailygammon.com/bg/invite/new?submit=invite&amp;variant=1&amp;length=11&amp;time_control=12&amp;name=</v>
      </c>
      <c r="X150" s="2" t="str">
        <f t="shared" si="26"/>
        <v>Wrong%20invitation</v>
      </c>
      <c r="Y150" s="12" t="str">
        <f t="shared" si="27"/>
        <v>Wrong invitation</v>
      </c>
      <c r="Z150" s="3" t="str">
        <f t="shared" si="28"/>
        <v/>
      </c>
      <c r="AA150" s="3" t="s">
        <v>617</v>
      </c>
      <c r="AB150" s="3" t="str">
        <f t="shared" si="29"/>
        <v>Wrong invitation</v>
      </c>
    </row>
    <row r="151" spans="1:28" hidden="1" x14ac:dyDescent="0.35">
      <c r="A151" s="2" t="s">
        <v>920</v>
      </c>
      <c r="B151" s="51" t="e">
        <f>VLOOKUP(J151,Tabelle1!A:B,2,FALSE)</f>
        <v>#N/A</v>
      </c>
      <c r="D151" s="51" t="e">
        <v>#N/A</v>
      </c>
      <c r="E151" s="11" t="e">
        <f t="shared" si="24"/>
        <v>#N/A</v>
      </c>
      <c r="G151" s="2" t="s">
        <v>54</v>
      </c>
      <c r="J151" s="41" t="s">
        <v>891</v>
      </c>
      <c r="K151" s="3">
        <v>17507</v>
      </c>
      <c r="N151" s="3" t="s">
        <v>874</v>
      </c>
      <c r="S151" s="2" t="s">
        <v>890</v>
      </c>
      <c r="T151" s="2">
        <v>1</v>
      </c>
      <c r="U151" s="2">
        <v>11</v>
      </c>
      <c r="V151" s="2">
        <v>12</v>
      </c>
      <c r="W151" s="1" t="str">
        <f t="shared" si="25"/>
        <v>http://www.dailygammon.com/bg/invite/new?submit=invite&amp;variant=1&amp;length=11&amp;time_control=12&amp;name=</v>
      </c>
      <c r="X151" s="2" t="str">
        <f t="shared" si="26"/>
        <v>Wrong%20invitation</v>
      </c>
      <c r="Y151" s="12" t="str">
        <f t="shared" si="27"/>
        <v>Wrong invitation</v>
      </c>
      <c r="Z151" s="3" t="str">
        <f t="shared" si="28"/>
        <v/>
      </c>
      <c r="AA151" s="3" t="s">
        <v>617</v>
      </c>
      <c r="AB151" s="3" t="str">
        <f t="shared" si="29"/>
        <v>Wrong invitation</v>
      </c>
    </row>
    <row r="152" spans="1:28" ht="14.4" hidden="1" customHeight="1" x14ac:dyDescent="0.35">
      <c r="A152" s="2" t="s">
        <v>885</v>
      </c>
      <c r="B152" s="51" t="e">
        <f>VLOOKUP(J152,Tabelle1!A:B,2,FALSE)</f>
        <v>#N/A</v>
      </c>
      <c r="D152" s="51" t="e">
        <v>#N/A</v>
      </c>
      <c r="E152" s="11" t="e">
        <f t="shared" si="24"/>
        <v>#N/A</v>
      </c>
      <c r="G152" s="2" t="s">
        <v>54</v>
      </c>
      <c r="J152" s="11" t="s">
        <v>796</v>
      </c>
      <c r="K152" s="3">
        <v>26933</v>
      </c>
      <c r="L152" s="2" t="s">
        <v>780</v>
      </c>
      <c r="N152" s="6" t="s">
        <v>384</v>
      </c>
      <c r="Q152" t="s">
        <v>779</v>
      </c>
      <c r="R152"/>
      <c r="S152" s="2" t="s">
        <v>795</v>
      </c>
      <c r="T152" s="2">
        <v>1</v>
      </c>
      <c r="U152" s="2">
        <v>11</v>
      </c>
      <c r="V152" s="2">
        <v>12</v>
      </c>
      <c r="W152" s="1" t="str">
        <f t="shared" si="25"/>
        <v>http://www.dailygammon.com/bg/invite/new?submit=invite&amp;variant=1&amp;length=11&amp;time_control=12&amp;name=</v>
      </c>
      <c r="X152" s="2" t="str">
        <f t="shared" si="26"/>
        <v>Wrong%20invitation</v>
      </c>
      <c r="Y152" s="12" t="str">
        <f t="shared" si="27"/>
        <v>Wrong invitation</v>
      </c>
      <c r="Z152" s="3" t="str">
        <f t="shared" si="28"/>
        <v/>
      </c>
      <c r="AA152" s="3" t="s">
        <v>617</v>
      </c>
      <c r="AB152" s="3" t="str">
        <f t="shared" si="29"/>
        <v>Wrong invitation</v>
      </c>
    </row>
    <row r="153" spans="1:28" hidden="1" x14ac:dyDescent="0.35">
      <c r="B153" s="51" t="e">
        <f>VLOOKUP(J153,Tabelle1!A:B,2,FALSE)</f>
        <v>#N/A</v>
      </c>
      <c r="C153" s="19"/>
      <c r="D153" s="51" t="e">
        <v>#N/A</v>
      </c>
      <c r="E153" s="11" t="e">
        <f t="shared" si="24"/>
        <v>#N/A</v>
      </c>
      <c r="G153" s="2" t="s">
        <v>54</v>
      </c>
      <c r="J153" s="3" t="s">
        <v>635</v>
      </c>
      <c r="K153" s="3">
        <v>38417</v>
      </c>
      <c r="L153" s="2" t="s">
        <v>637</v>
      </c>
      <c r="N153" s="3" t="s">
        <v>636</v>
      </c>
      <c r="Q153" s="2" t="s">
        <v>638</v>
      </c>
      <c r="S153" s="2" t="s">
        <v>644</v>
      </c>
      <c r="T153" s="2">
        <v>1</v>
      </c>
      <c r="U153" s="2">
        <v>11</v>
      </c>
      <c r="V153" s="2">
        <v>12</v>
      </c>
      <c r="W153" s="1" t="str">
        <f t="shared" si="25"/>
        <v>http://www.dailygammon.com/bg/invite/new?submit=invite&amp;variant=1&amp;length=11&amp;time_control=12&amp;name=</v>
      </c>
      <c r="X153" s="2" t="str">
        <f t="shared" si="26"/>
        <v>Wrong%20invitation</v>
      </c>
      <c r="Y153" s="12" t="str">
        <f t="shared" si="27"/>
        <v>Wrong invitation</v>
      </c>
      <c r="Z153" s="3" t="str">
        <f t="shared" si="28"/>
        <v/>
      </c>
      <c r="AA153" s="3" t="s">
        <v>617</v>
      </c>
      <c r="AB153" s="3" t="str">
        <f t="shared" si="29"/>
        <v>Wrong invitation</v>
      </c>
    </row>
    <row r="154" spans="1:28" hidden="1" x14ac:dyDescent="0.35">
      <c r="A154" s="2" t="s">
        <v>886</v>
      </c>
      <c r="B154" s="51" t="e">
        <f>VLOOKUP(J154,Tabelle1!A:B,2,FALSE)</f>
        <v>#N/A</v>
      </c>
      <c r="D154" s="51" t="e">
        <v>#N/A</v>
      </c>
      <c r="E154" s="11" t="e">
        <f t="shared" si="24"/>
        <v>#N/A</v>
      </c>
      <c r="G154" s="2" t="s">
        <v>54</v>
      </c>
      <c r="J154" s="11" t="s">
        <v>308</v>
      </c>
      <c r="K154" s="3">
        <v>30811</v>
      </c>
      <c r="L154" s="2" t="s">
        <v>455</v>
      </c>
      <c r="N154" s="3" t="s">
        <v>381</v>
      </c>
      <c r="Q154" s="2" t="s">
        <v>314</v>
      </c>
      <c r="T154" s="2">
        <v>1</v>
      </c>
      <c r="U154" s="2">
        <v>11</v>
      </c>
      <c r="V154" s="2">
        <v>12</v>
      </c>
      <c r="W154" s="1" t="str">
        <f t="shared" si="25"/>
        <v>http://www.dailygammon.com/bg/invite/new?submit=invite&amp;variant=1&amp;length=11&amp;time_control=12&amp;name=</v>
      </c>
      <c r="X154" s="2" t="str">
        <f t="shared" si="26"/>
        <v>Wrong%20invitation</v>
      </c>
      <c r="Y154" s="12" t="str">
        <f t="shared" si="27"/>
        <v>Wrong invitation</v>
      </c>
      <c r="Z154" s="3" t="str">
        <f t="shared" si="28"/>
        <v/>
      </c>
      <c r="AA154" s="3" t="s">
        <v>617</v>
      </c>
      <c r="AB154" s="3" t="str">
        <f t="shared" si="29"/>
        <v>Wrong invitation</v>
      </c>
    </row>
    <row r="155" spans="1:28" hidden="1" x14ac:dyDescent="0.35">
      <c r="B155" s="51" t="e">
        <f>VLOOKUP(J155,Tabelle1!A:B,2,FALSE)</f>
        <v>#N/A</v>
      </c>
      <c r="D155" s="51" t="e">
        <v>#N/A</v>
      </c>
      <c r="E155" s="11" t="e">
        <f t="shared" si="24"/>
        <v>#N/A</v>
      </c>
      <c r="G155" s="2" t="s">
        <v>54</v>
      </c>
      <c r="J155" s="3" t="s">
        <v>651</v>
      </c>
      <c r="K155" s="3">
        <v>15331</v>
      </c>
      <c r="L155" s="2" t="s">
        <v>70</v>
      </c>
      <c r="M155" s="2" t="s">
        <v>652</v>
      </c>
      <c r="N155" s="3"/>
      <c r="Q155" s="2" t="s">
        <v>653</v>
      </c>
      <c r="S155" s="2" t="s">
        <v>654</v>
      </c>
      <c r="T155" s="2">
        <v>1</v>
      </c>
      <c r="U155" s="2">
        <v>11</v>
      </c>
      <c r="V155" s="2">
        <v>12</v>
      </c>
      <c r="W155" s="1" t="str">
        <f t="shared" si="25"/>
        <v>http://www.dailygammon.com/bg/invite/new?submit=invite&amp;variant=1&amp;length=11&amp;time_control=12&amp;name=</v>
      </c>
      <c r="X155" s="2" t="str">
        <f t="shared" si="26"/>
        <v>Wrong%20invitation</v>
      </c>
      <c r="Y155" s="12" t="str">
        <f t="shared" si="27"/>
        <v>Wrong invitation</v>
      </c>
      <c r="Z155" s="3" t="str">
        <f t="shared" si="28"/>
        <v/>
      </c>
      <c r="AA155" s="3" t="s">
        <v>617</v>
      </c>
      <c r="AB155" s="3" t="str">
        <f t="shared" si="29"/>
        <v>Wrong invitation</v>
      </c>
    </row>
    <row r="156" spans="1:28" hidden="1" x14ac:dyDescent="0.35">
      <c r="B156" s="51" t="e">
        <f>VLOOKUP(J156,Tabelle1!A:B,2,FALSE)</f>
        <v>#N/A</v>
      </c>
      <c r="D156" s="51" t="e">
        <v>#N/A</v>
      </c>
      <c r="E156" s="11" t="e">
        <f t="shared" si="24"/>
        <v>#N/A</v>
      </c>
      <c r="G156" s="2" t="s">
        <v>54</v>
      </c>
      <c r="J156" s="3" t="s">
        <v>642</v>
      </c>
      <c r="K156" s="3">
        <v>23763</v>
      </c>
      <c r="N156" s="3" t="s">
        <v>645</v>
      </c>
      <c r="S156" s="2" t="s">
        <v>643</v>
      </c>
      <c r="T156" s="2">
        <v>1</v>
      </c>
      <c r="U156" s="2">
        <v>11</v>
      </c>
      <c r="V156" s="2">
        <v>12</v>
      </c>
      <c r="W156" s="1" t="str">
        <f t="shared" si="25"/>
        <v>http://www.dailygammon.com/bg/invite/new?submit=invite&amp;variant=1&amp;length=11&amp;time_control=12&amp;name=</v>
      </c>
      <c r="X156" s="2" t="str">
        <f t="shared" si="26"/>
        <v>Wrong%20invitation</v>
      </c>
      <c r="Y156" s="12" t="str">
        <f t="shared" si="27"/>
        <v>Wrong invitation</v>
      </c>
      <c r="Z156" s="3" t="str">
        <f t="shared" si="28"/>
        <v/>
      </c>
      <c r="AA156" s="3" t="s">
        <v>617</v>
      </c>
      <c r="AB156" s="3" t="str">
        <f t="shared" si="29"/>
        <v>Wrong invitation</v>
      </c>
    </row>
    <row r="157" spans="1:28" hidden="1" x14ac:dyDescent="0.35">
      <c r="A157" s="2" t="s">
        <v>937</v>
      </c>
      <c r="B157" s="51" t="e">
        <f>VLOOKUP(J157,Tabelle1!A:B,2,FALSE)</f>
        <v>#N/A</v>
      </c>
      <c r="C157" s="19"/>
      <c r="D157" s="51" t="e">
        <v>#N/A</v>
      </c>
      <c r="E157" s="11" t="e">
        <f t="shared" si="24"/>
        <v>#N/A</v>
      </c>
      <c r="G157" s="2" t="s">
        <v>54</v>
      </c>
      <c r="J157" s="3" t="s">
        <v>725</v>
      </c>
      <c r="K157" s="3">
        <v>16354</v>
      </c>
      <c r="L157" s="2" t="s">
        <v>724</v>
      </c>
      <c r="N157" s="3" t="s">
        <v>723</v>
      </c>
      <c r="Q157" s="2" t="s">
        <v>726</v>
      </c>
      <c r="S157" s="2" t="s">
        <v>730</v>
      </c>
      <c r="T157" s="2">
        <v>1</v>
      </c>
      <c r="U157" s="2">
        <v>11</v>
      </c>
      <c r="V157" s="2">
        <v>12</v>
      </c>
      <c r="W157" s="1" t="str">
        <f t="shared" si="25"/>
        <v>http://www.dailygammon.com/bg/invite/new?submit=invite&amp;variant=1&amp;length=11&amp;time_control=12&amp;name=</v>
      </c>
      <c r="X157" s="2" t="str">
        <f t="shared" si="26"/>
        <v>Wrong%20invitation</v>
      </c>
      <c r="Y157" s="12" t="str">
        <f t="shared" si="27"/>
        <v>Wrong invitation</v>
      </c>
      <c r="Z157" s="3" t="str">
        <f t="shared" si="28"/>
        <v/>
      </c>
      <c r="AA157" s="3" t="s">
        <v>617</v>
      </c>
      <c r="AB157" s="3" t="str">
        <f t="shared" si="29"/>
        <v>Wrong invitation</v>
      </c>
    </row>
    <row r="158" spans="1:28" hidden="1" x14ac:dyDescent="0.35">
      <c r="B158" s="51" t="e">
        <f>VLOOKUP(J158,Tabelle1!A:B,2,FALSE)</f>
        <v>#N/A</v>
      </c>
      <c r="D158" s="51" t="e">
        <v>#N/A</v>
      </c>
      <c r="E158" s="11" t="e">
        <f t="shared" si="24"/>
        <v>#N/A</v>
      </c>
      <c r="G158" s="2" t="s">
        <v>54</v>
      </c>
      <c r="J158" s="11" t="s">
        <v>640</v>
      </c>
      <c r="K158" s="3">
        <v>30175</v>
      </c>
      <c r="L158" s="2" t="s">
        <v>672</v>
      </c>
      <c r="N158" s="3" t="s">
        <v>647</v>
      </c>
      <c r="Q158" s="2" t="s">
        <v>673</v>
      </c>
      <c r="S158" s="2" t="s">
        <v>648</v>
      </c>
      <c r="T158" s="2">
        <v>1</v>
      </c>
      <c r="U158" s="2">
        <v>11</v>
      </c>
      <c r="V158" s="2">
        <v>12</v>
      </c>
      <c r="W158" s="1" t="str">
        <f t="shared" si="25"/>
        <v>http://www.dailygammon.com/bg/invite/new?submit=invite&amp;variant=1&amp;length=11&amp;time_control=12&amp;name=</v>
      </c>
      <c r="X158" s="2" t="str">
        <f t="shared" si="26"/>
        <v>Wrong%20invitation</v>
      </c>
      <c r="Y158" s="12" t="str">
        <f t="shared" si="27"/>
        <v>Wrong invitation</v>
      </c>
      <c r="Z158" s="3" t="str">
        <f t="shared" si="28"/>
        <v/>
      </c>
      <c r="AA158" s="3" t="s">
        <v>617</v>
      </c>
      <c r="AB158" s="3" t="str">
        <f t="shared" si="29"/>
        <v>Wrong invitation</v>
      </c>
    </row>
    <row r="159" spans="1:28" hidden="1" x14ac:dyDescent="0.35">
      <c r="B159" s="51" t="e">
        <f>VLOOKUP(J159,Tabelle1!A:B,2,FALSE)</f>
        <v>#N/A</v>
      </c>
      <c r="C159" s="19"/>
      <c r="D159" s="51" t="e">
        <v>#N/A</v>
      </c>
      <c r="E159" s="11" t="e">
        <f t="shared" si="24"/>
        <v>#N/A</v>
      </c>
      <c r="G159" s="2" t="s">
        <v>54</v>
      </c>
      <c r="J159" s="3" t="s">
        <v>270</v>
      </c>
      <c r="K159" s="3">
        <v>12507</v>
      </c>
      <c r="L159" s="2" t="s">
        <v>118</v>
      </c>
      <c r="N159" s="3" t="s">
        <v>375</v>
      </c>
      <c r="Q159" s="2" t="s">
        <v>271</v>
      </c>
      <c r="T159" s="2">
        <v>1</v>
      </c>
      <c r="U159" s="2">
        <v>11</v>
      </c>
      <c r="V159" s="2">
        <v>12</v>
      </c>
      <c r="W159" s="1" t="str">
        <f t="shared" si="25"/>
        <v>http://www.dailygammon.com/bg/invite/new?submit=invite&amp;variant=1&amp;length=11&amp;time_control=12&amp;name=</v>
      </c>
      <c r="X159" s="2" t="str">
        <f t="shared" si="26"/>
        <v>Wrong%20invitation</v>
      </c>
      <c r="Y159" s="12" t="str">
        <f t="shared" si="27"/>
        <v>Wrong invitation</v>
      </c>
      <c r="Z159" s="3" t="str">
        <f t="shared" si="28"/>
        <v/>
      </c>
      <c r="AA159" s="3" t="s">
        <v>617</v>
      </c>
      <c r="AB159" s="3" t="str">
        <f t="shared" si="29"/>
        <v>Wrong invitation</v>
      </c>
    </row>
    <row r="160" spans="1:28" hidden="1" x14ac:dyDescent="0.35">
      <c r="B160" s="51" t="e">
        <f>VLOOKUP(J160,Tabelle1!A:B,2,FALSE)</f>
        <v>#N/A</v>
      </c>
      <c r="D160" s="51" t="e">
        <v>#N/A</v>
      </c>
      <c r="E160" s="11" t="e">
        <f t="shared" si="24"/>
        <v>#N/A</v>
      </c>
      <c r="G160" s="2" t="s">
        <v>54</v>
      </c>
      <c r="J160" s="3" t="s">
        <v>261</v>
      </c>
      <c r="K160" s="3">
        <v>32604</v>
      </c>
      <c r="L160" s="2" t="s">
        <v>192</v>
      </c>
      <c r="N160" s="3" t="s">
        <v>263</v>
      </c>
      <c r="O160" s="3"/>
      <c r="P160" s="3"/>
      <c r="Q160" s="2" t="s">
        <v>262</v>
      </c>
      <c r="T160" s="2">
        <v>1</v>
      </c>
      <c r="U160" s="2">
        <v>11</v>
      </c>
      <c r="V160" s="2">
        <v>12</v>
      </c>
      <c r="W160" s="1" t="str">
        <f t="shared" si="25"/>
        <v>http://www.dailygammon.com/bg/invite/new?submit=invite&amp;variant=1&amp;length=11&amp;time_control=12&amp;name=</v>
      </c>
      <c r="X160" s="2" t="str">
        <f t="shared" si="26"/>
        <v>Wrong%20invitation</v>
      </c>
      <c r="Y160" s="12" t="str">
        <f t="shared" si="27"/>
        <v>Wrong invitation</v>
      </c>
      <c r="Z160" s="3" t="str">
        <f t="shared" si="28"/>
        <v/>
      </c>
      <c r="AA160" s="3" t="s">
        <v>617</v>
      </c>
      <c r="AB160" s="3" t="str">
        <f t="shared" si="29"/>
        <v>Wrong invitation</v>
      </c>
    </row>
    <row r="161" spans="1:28" hidden="1" x14ac:dyDescent="0.35">
      <c r="B161" s="51" t="e">
        <f>VLOOKUP(J161,Tabelle1!A:B,2,FALSE)</f>
        <v>#N/A</v>
      </c>
      <c r="D161" s="51" t="e">
        <v>#N/A</v>
      </c>
      <c r="E161" s="11" t="e">
        <f t="shared" si="24"/>
        <v>#N/A</v>
      </c>
      <c r="G161" s="2" t="s">
        <v>54</v>
      </c>
      <c r="J161" s="3" t="s">
        <v>445</v>
      </c>
      <c r="K161" s="3">
        <v>31065</v>
      </c>
      <c r="L161" s="2" t="s">
        <v>59</v>
      </c>
      <c r="M161" s="2" t="s">
        <v>446</v>
      </c>
      <c r="N161" s="3"/>
      <c r="Q161" t="s">
        <v>447</v>
      </c>
      <c r="R161"/>
      <c r="T161" s="2">
        <v>1</v>
      </c>
      <c r="U161" s="2">
        <v>11</v>
      </c>
      <c r="V161" s="2">
        <v>12</v>
      </c>
      <c r="W161" s="1" t="str">
        <f t="shared" si="25"/>
        <v>http://www.dailygammon.com/bg/invite/new?submit=invite&amp;variant=1&amp;length=11&amp;time_control=12&amp;name=</v>
      </c>
      <c r="X161" s="2" t="str">
        <f t="shared" si="26"/>
        <v>Wrong%20invitation</v>
      </c>
      <c r="Y161" s="12" t="str">
        <f t="shared" si="27"/>
        <v>Wrong invitation</v>
      </c>
      <c r="Z161" s="3" t="str">
        <f t="shared" si="28"/>
        <v/>
      </c>
      <c r="AA161" s="3" t="s">
        <v>617</v>
      </c>
      <c r="AB161" s="3" t="str">
        <f t="shared" si="29"/>
        <v>Wrong invitation</v>
      </c>
    </row>
    <row r="162" spans="1:28" ht="29" hidden="1" x14ac:dyDescent="0.35">
      <c r="A162" s="2" t="s">
        <v>976</v>
      </c>
      <c r="B162" s="51" t="e">
        <f>VLOOKUP(J162,Tabelle1!A:B,2,FALSE)</f>
        <v>#N/A</v>
      </c>
      <c r="D162" s="51" t="e">
        <v>#N/A</v>
      </c>
      <c r="E162" s="11" t="e">
        <f t="shared" ref="E162:E193" si="30">HYPERLINK(C162 &amp; IF(OR(AND(C162&gt;10,C162&lt;20),OR(MOD(C162,10)=0,MOD(C162,10)&gt;3)),"th",CHOOSE(MOD(C162,10),"st","nd","rd")) &amp; "_Backgammon-championships_" &amp; D162 &amp; ".xlsm",D162)</f>
        <v>#N/A</v>
      </c>
      <c r="G162" s="2" t="s">
        <v>54</v>
      </c>
      <c r="J162" s="37" t="s">
        <v>965</v>
      </c>
      <c r="K162" s="3">
        <v>36756</v>
      </c>
      <c r="L162" s="43" t="s">
        <v>964</v>
      </c>
      <c r="N162" s="1" t="s">
        <v>963</v>
      </c>
      <c r="Q162" s="2" t="s">
        <v>597</v>
      </c>
      <c r="S162" s="4" t="s">
        <v>972</v>
      </c>
      <c r="T162" s="2">
        <v>1</v>
      </c>
      <c r="U162" s="2">
        <v>11</v>
      </c>
      <c r="V162" s="2">
        <v>12</v>
      </c>
      <c r="W162" s="1" t="str">
        <f t="shared" ref="W162:W193" si="31">"http://www.dailygammon.com/bg/invite/new?submit=invite&amp;variant=" &amp; T162 &amp; "&amp;length=" &amp; U162 &amp; "&amp;time_control=" &amp; V162 &amp; "&amp;name="</f>
        <v>http://www.dailygammon.com/bg/invite/new?submit=invite&amp;variant=1&amp;length=11&amp;time_control=12&amp;name=</v>
      </c>
      <c r="X162" s="2" t="str">
        <f t="shared" ref="X162:X193" si="32">SUBSTITUTE(IF(C162="","Wrong invitation",C162 &amp; IF(RIGHT(C162,1)="1","st",IF(RIGHT(C162,1)="2","nd",IF(RIGHT(C162,1)="3","rd","th"))) &amp; "-season-" &amp; D162)," ","%20")</f>
        <v>Wrong%20invitation</v>
      </c>
      <c r="Y162" s="12" t="str">
        <f t="shared" ref="Y162:Y193" si="33">IF(C162="","Wrong invitation",CONCATENATE("invite ",J162))</f>
        <v>Wrong invitation</v>
      </c>
      <c r="Z162" s="3" t="str">
        <f t="shared" ref="Z162:Z193" si="34">IF(C162="","",HYPERLINK(CONCATENATE(W162,X162,"&amp;player=",K162)))</f>
        <v/>
      </c>
      <c r="AA162" s="3" t="s">
        <v>617</v>
      </c>
      <c r="AB162" s="3" t="str">
        <f t="shared" ref="AB162:AB193" si="35">HYPERLINK(Z162,Y162)</f>
        <v>Wrong invitation</v>
      </c>
    </row>
    <row r="163" spans="1:28" hidden="1" x14ac:dyDescent="0.35">
      <c r="A163" s="2" t="s">
        <v>893</v>
      </c>
      <c r="B163" s="51" t="e">
        <f>VLOOKUP(J163,Tabelle1!A:B,2,FALSE)</f>
        <v>#N/A</v>
      </c>
      <c r="D163" s="51" t="e">
        <v>#N/A</v>
      </c>
      <c r="E163" s="11" t="e">
        <f t="shared" si="30"/>
        <v>#N/A</v>
      </c>
      <c r="G163" s="2" t="s">
        <v>54</v>
      </c>
      <c r="J163" s="3" t="s">
        <v>184</v>
      </c>
      <c r="K163" s="3">
        <v>17648</v>
      </c>
      <c r="L163" s="2" t="s">
        <v>181</v>
      </c>
      <c r="M163" s="2" t="s">
        <v>182</v>
      </c>
      <c r="N163" s="3" t="s">
        <v>183</v>
      </c>
      <c r="O163" s="3"/>
      <c r="P163" s="3"/>
      <c r="Q163" s="2" t="s">
        <v>185</v>
      </c>
      <c r="T163" s="2">
        <v>1</v>
      </c>
      <c r="U163" s="2">
        <v>11</v>
      </c>
      <c r="V163" s="2">
        <v>12</v>
      </c>
      <c r="W163" s="1" t="str">
        <f t="shared" si="31"/>
        <v>http://www.dailygammon.com/bg/invite/new?submit=invite&amp;variant=1&amp;length=11&amp;time_control=12&amp;name=</v>
      </c>
      <c r="X163" s="2" t="str">
        <f t="shared" si="32"/>
        <v>Wrong%20invitation</v>
      </c>
      <c r="Y163" s="12" t="str">
        <f t="shared" si="33"/>
        <v>Wrong invitation</v>
      </c>
      <c r="Z163" s="3" t="str">
        <f t="shared" si="34"/>
        <v/>
      </c>
      <c r="AA163" s="3" t="s">
        <v>617</v>
      </c>
      <c r="AB163" s="3" t="str">
        <f t="shared" si="35"/>
        <v>Wrong invitation</v>
      </c>
    </row>
    <row r="164" spans="1:28" hidden="1" x14ac:dyDescent="0.35">
      <c r="B164" s="51" t="e">
        <f>VLOOKUP(J164,Tabelle1!A:B,2,FALSE)</f>
        <v>#N/A</v>
      </c>
      <c r="D164" s="51" t="e">
        <v>#N/A</v>
      </c>
      <c r="E164" s="11" t="e">
        <f t="shared" si="30"/>
        <v>#N/A</v>
      </c>
      <c r="G164" s="2" t="s">
        <v>54</v>
      </c>
      <c r="J164" s="3" t="s">
        <v>438</v>
      </c>
      <c r="K164" s="3">
        <v>33175</v>
      </c>
      <c r="L164" s="2" t="s">
        <v>439</v>
      </c>
      <c r="N164" s="3" t="s">
        <v>440</v>
      </c>
      <c r="Q164" t="s">
        <v>432</v>
      </c>
      <c r="R164"/>
      <c r="T164" s="2">
        <v>1</v>
      </c>
      <c r="U164" s="2">
        <v>11</v>
      </c>
      <c r="V164" s="2">
        <v>12</v>
      </c>
      <c r="W164" s="1" t="str">
        <f t="shared" si="31"/>
        <v>http://www.dailygammon.com/bg/invite/new?submit=invite&amp;variant=1&amp;length=11&amp;time_control=12&amp;name=</v>
      </c>
      <c r="X164" s="2" t="str">
        <f t="shared" si="32"/>
        <v>Wrong%20invitation</v>
      </c>
      <c r="Y164" s="12" t="str">
        <f t="shared" si="33"/>
        <v>Wrong invitation</v>
      </c>
      <c r="Z164" s="3" t="str">
        <f t="shared" si="34"/>
        <v/>
      </c>
      <c r="AA164" s="3" t="s">
        <v>617</v>
      </c>
      <c r="AB164" s="3" t="str">
        <f t="shared" si="35"/>
        <v>Wrong invitation</v>
      </c>
    </row>
    <row r="165" spans="1:28" hidden="1" x14ac:dyDescent="0.35">
      <c r="B165" s="51" t="e">
        <f>VLOOKUP(J165,Tabelle1!A:B,2,FALSE)</f>
        <v>#N/A</v>
      </c>
      <c r="C165" s="19"/>
      <c r="D165" s="51" t="e">
        <v>#N/A</v>
      </c>
      <c r="E165" s="11" t="e">
        <f t="shared" si="30"/>
        <v>#N/A</v>
      </c>
      <c r="G165" s="2" t="s">
        <v>54</v>
      </c>
      <c r="J165" s="3" t="s">
        <v>676</v>
      </c>
      <c r="K165" s="3">
        <v>15774</v>
      </c>
      <c r="L165" s="2" t="s">
        <v>75</v>
      </c>
      <c r="M165" s="2" t="s">
        <v>677</v>
      </c>
      <c r="N165" s="3" t="s">
        <v>678</v>
      </c>
      <c r="Q165" s="2" t="s">
        <v>679</v>
      </c>
      <c r="S165" s="2" t="s">
        <v>727</v>
      </c>
      <c r="T165" s="2">
        <v>1</v>
      </c>
      <c r="U165" s="2">
        <v>11</v>
      </c>
      <c r="V165" s="2">
        <v>12</v>
      </c>
      <c r="W165" s="1" t="str">
        <f t="shared" si="31"/>
        <v>http://www.dailygammon.com/bg/invite/new?submit=invite&amp;variant=1&amp;length=11&amp;time_control=12&amp;name=</v>
      </c>
      <c r="X165" s="2" t="str">
        <f t="shared" si="32"/>
        <v>Wrong%20invitation</v>
      </c>
      <c r="Y165" s="12" t="str">
        <f t="shared" si="33"/>
        <v>Wrong invitation</v>
      </c>
      <c r="Z165" s="3" t="str">
        <f t="shared" si="34"/>
        <v/>
      </c>
      <c r="AA165" s="3" t="s">
        <v>617</v>
      </c>
      <c r="AB165" s="3" t="str">
        <f t="shared" si="35"/>
        <v>Wrong invitation</v>
      </c>
    </row>
    <row r="166" spans="1:28" hidden="1" x14ac:dyDescent="0.35">
      <c r="B166" s="51" t="e">
        <f>VLOOKUP(J166,Tabelle1!A:B,2,FALSE)</f>
        <v>#N/A</v>
      </c>
      <c r="C166" s="19"/>
      <c r="D166" s="51" t="e">
        <v>#N/A</v>
      </c>
      <c r="E166" s="11" t="e">
        <f t="shared" si="30"/>
        <v>#N/A</v>
      </c>
      <c r="G166" s="2" t="s">
        <v>54</v>
      </c>
      <c r="J166" s="3" t="s">
        <v>767</v>
      </c>
      <c r="K166" s="3">
        <v>39043</v>
      </c>
      <c r="L166" s="2" t="s">
        <v>768</v>
      </c>
      <c r="M166" s="2" t="s">
        <v>769</v>
      </c>
      <c r="N166" s="3" t="s">
        <v>775</v>
      </c>
      <c r="S166" s="2" t="s">
        <v>771</v>
      </c>
      <c r="T166" s="2">
        <v>1</v>
      </c>
      <c r="U166" s="2">
        <v>11</v>
      </c>
      <c r="V166" s="2">
        <v>12</v>
      </c>
      <c r="W166" s="1" t="str">
        <f t="shared" si="31"/>
        <v>http://www.dailygammon.com/bg/invite/new?submit=invite&amp;variant=1&amp;length=11&amp;time_control=12&amp;name=</v>
      </c>
      <c r="X166" s="2" t="str">
        <f t="shared" si="32"/>
        <v>Wrong%20invitation</v>
      </c>
      <c r="Y166" s="12" t="str">
        <f t="shared" si="33"/>
        <v>Wrong invitation</v>
      </c>
      <c r="Z166" s="3" t="str">
        <f t="shared" si="34"/>
        <v/>
      </c>
      <c r="AA166" s="3" t="s">
        <v>617</v>
      </c>
      <c r="AB166" s="3" t="str">
        <f t="shared" si="35"/>
        <v>Wrong invitation</v>
      </c>
    </row>
    <row r="167" spans="1:28" hidden="1" x14ac:dyDescent="0.35">
      <c r="B167" s="51" t="e">
        <f>VLOOKUP(J167,Tabelle1!A:B,2,FALSE)</f>
        <v>#N/A</v>
      </c>
      <c r="D167" s="51" t="e">
        <v>#N/A</v>
      </c>
      <c r="E167" s="11" t="e">
        <f t="shared" si="30"/>
        <v>#N/A</v>
      </c>
      <c r="G167" s="2" t="s">
        <v>54</v>
      </c>
      <c r="J167" s="3" t="s">
        <v>175</v>
      </c>
      <c r="K167" s="3">
        <v>23273</v>
      </c>
      <c r="L167" s="2" t="s">
        <v>171</v>
      </c>
      <c r="M167" s="2" t="s">
        <v>172</v>
      </c>
      <c r="N167" s="3" t="s">
        <v>173</v>
      </c>
      <c r="O167" s="3"/>
      <c r="P167" s="3"/>
      <c r="Q167" s="2" t="s">
        <v>174</v>
      </c>
      <c r="T167" s="2">
        <v>1</v>
      </c>
      <c r="U167" s="2">
        <v>11</v>
      </c>
      <c r="V167" s="2">
        <v>12</v>
      </c>
      <c r="W167" s="1" t="str">
        <f t="shared" si="31"/>
        <v>http://www.dailygammon.com/bg/invite/new?submit=invite&amp;variant=1&amp;length=11&amp;time_control=12&amp;name=</v>
      </c>
      <c r="X167" s="2" t="str">
        <f t="shared" si="32"/>
        <v>Wrong%20invitation</v>
      </c>
      <c r="Y167" s="12" t="str">
        <f t="shared" si="33"/>
        <v>Wrong invitation</v>
      </c>
      <c r="Z167" s="3" t="str">
        <f t="shared" si="34"/>
        <v/>
      </c>
      <c r="AA167" s="3" t="s">
        <v>617</v>
      </c>
      <c r="AB167" s="3" t="str">
        <f t="shared" si="35"/>
        <v>Wrong invitation</v>
      </c>
    </row>
    <row r="168" spans="1:28" hidden="1" x14ac:dyDescent="0.35">
      <c r="A168" s="2" t="s">
        <v>887</v>
      </c>
      <c r="B168" s="51" t="e">
        <f>VLOOKUP(J168,Tabelle1!A:B,2,FALSE)</f>
        <v>#N/A</v>
      </c>
      <c r="D168" s="51" t="e">
        <v>#N/A</v>
      </c>
      <c r="E168" s="11" t="e">
        <f t="shared" si="30"/>
        <v>#N/A</v>
      </c>
      <c r="G168" s="2" t="s">
        <v>54</v>
      </c>
      <c r="J168" s="11" t="s">
        <v>589</v>
      </c>
      <c r="K168" s="3">
        <v>10304</v>
      </c>
      <c r="L168" s="2" t="s">
        <v>600</v>
      </c>
      <c r="N168" s="3" t="s">
        <v>614</v>
      </c>
      <c r="Q168" s="2" t="s">
        <v>601</v>
      </c>
      <c r="S168" s="2" t="s">
        <v>599</v>
      </c>
      <c r="T168" s="2">
        <v>1</v>
      </c>
      <c r="U168" s="2">
        <v>11</v>
      </c>
      <c r="V168" s="2">
        <v>12</v>
      </c>
      <c r="W168" s="1" t="str">
        <f t="shared" si="31"/>
        <v>http://www.dailygammon.com/bg/invite/new?submit=invite&amp;variant=1&amp;length=11&amp;time_control=12&amp;name=</v>
      </c>
      <c r="X168" s="2" t="str">
        <f t="shared" si="32"/>
        <v>Wrong%20invitation</v>
      </c>
      <c r="Y168" s="12" t="str">
        <f t="shared" si="33"/>
        <v>Wrong invitation</v>
      </c>
      <c r="Z168" s="3" t="str">
        <f t="shared" si="34"/>
        <v/>
      </c>
      <c r="AA168" s="3" t="s">
        <v>617</v>
      </c>
      <c r="AB168" s="3" t="str">
        <f t="shared" si="35"/>
        <v>Wrong invitation</v>
      </c>
    </row>
    <row r="169" spans="1:28" hidden="1" x14ac:dyDescent="0.35">
      <c r="B169" s="51" t="e">
        <f>VLOOKUP(J169,Tabelle1!A:B,2,FALSE)</f>
        <v>#N/A</v>
      </c>
      <c r="D169" s="51" t="e">
        <v>#N/A</v>
      </c>
      <c r="E169" s="11" t="e">
        <f t="shared" si="30"/>
        <v>#N/A</v>
      </c>
      <c r="G169" s="2" t="s">
        <v>54</v>
      </c>
      <c r="J169" s="32" t="s">
        <v>507</v>
      </c>
      <c r="K169" s="3">
        <v>24149</v>
      </c>
      <c r="L169" s="2" t="s">
        <v>509</v>
      </c>
      <c r="M169" s="2" t="s">
        <v>510</v>
      </c>
      <c r="N169" s="3" t="s">
        <v>508</v>
      </c>
      <c r="Q169" s="2" t="s">
        <v>323</v>
      </c>
      <c r="S169" s="3"/>
      <c r="T169" s="2">
        <v>1</v>
      </c>
      <c r="U169" s="2">
        <v>11</v>
      </c>
      <c r="V169" s="2">
        <v>12</v>
      </c>
      <c r="W169" s="1" t="str">
        <f t="shared" si="31"/>
        <v>http://www.dailygammon.com/bg/invite/new?submit=invite&amp;variant=1&amp;length=11&amp;time_control=12&amp;name=</v>
      </c>
      <c r="X169" s="2" t="str">
        <f t="shared" si="32"/>
        <v>Wrong%20invitation</v>
      </c>
      <c r="Y169" s="12" t="str">
        <f t="shared" si="33"/>
        <v>Wrong invitation</v>
      </c>
      <c r="Z169" s="3" t="str">
        <f t="shared" si="34"/>
        <v/>
      </c>
      <c r="AA169" s="3" t="s">
        <v>617</v>
      </c>
      <c r="AB169" s="3" t="str">
        <f t="shared" si="35"/>
        <v>Wrong invitation</v>
      </c>
    </row>
    <row r="170" spans="1:28" hidden="1" x14ac:dyDescent="0.35">
      <c r="A170" s="2" t="s">
        <v>966</v>
      </c>
      <c r="B170" s="51" t="e">
        <f>VLOOKUP(J170,Tabelle1!A:B,2,FALSE)</f>
        <v>#N/A</v>
      </c>
      <c r="D170" s="51" t="e">
        <v>#N/A</v>
      </c>
      <c r="E170" s="11" t="e">
        <f t="shared" si="30"/>
        <v>#N/A</v>
      </c>
      <c r="G170" s="2" t="s">
        <v>54</v>
      </c>
      <c r="J170" s="3" t="s">
        <v>793</v>
      </c>
      <c r="K170" s="3">
        <v>29498</v>
      </c>
      <c r="L170" s="2" t="s">
        <v>794</v>
      </c>
      <c r="N170" s="3" t="s">
        <v>853</v>
      </c>
      <c r="P170" s="2" t="s">
        <v>858</v>
      </c>
      <c r="Q170" s="2" t="s">
        <v>597</v>
      </c>
      <c r="S170" s="2" t="s">
        <v>792</v>
      </c>
      <c r="T170" s="2">
        <v>1</v>
      </c>
      <c r="U170" s="2">
        <v>11</v>
      </c>
      <c r="V170" s="2">
        <v>12</v>
      </c>
      <c r="W170" s="1" t="str">
        <f t="shared" si="31"/>
        <v>http://www.dailygammon.com/bg/invite/new?submit=invite&amp;variant=1&amp;length=11&amp;time_control=12&amp;name=</v>
      </c>
      <c r="X170" s="2" t="str">
        <f t="shared" si="32"/>
        <v>Wrong%20invitation</v>
      </c>
      <c r="Y170" s="12" t="str">
        <f t="shared" si="33"/>
        <v>Wrong invitation</v>
      </c>
      <c r="Z170" s="3" t="str">
        <f t="shared" si="34"/>
        <v/>
      </c>
      <c r="AA170" s="3" t="s">
        <v>617</v>
      </c>
      <c r="AB170" s="3" t="str">
        <f t="shared" si="35"/>
        <v>Wrong invitation</v>
      </c>
    </row>
    <row r="171" spans="1:28" hidden="1" x14ac:dyDescent="0.35">
      <c r="B171" s="51" t="e">
        <f>VLOOKUP(J171,Tabelle1!A:B,2,FALSE)</f>
        <v>#N/A</v>
      </c>
      <c r="D171" s="51" t="e">
        <v>#N/A</v>
      </c>
      <c r="E171" s="11" t="e">
        <f t="shared" si="30"/>
        <v>#N/A</v>
      </c>
      <c r="G171" s="2" t="s">
        <v>54</v>
      </c>
      <c r="J171" s="3" t="s">
        <v>641</v>
      </c>
      <c r="K171" s="3">
        <v>22269</v>
      </c>
      <c r="N171" s="3"/>
      <c r="S171" s="2" t="s">
        <v>646</v>
      </c>
      <c r="T171" s="2">
        <v>1</v>
      </c>
      <c r="U171" s="2">
        <v>11</v>
      </c>
      <c r="V171" s="2">
        <v>12</v>
      </c>
      <c r="W171" s="1" t="str">
        <f t="shared" si="31"/>
        <v>http://www.dailygammon.com/bg/invite/new?submit=invite&amp;variant=1&amp;length=11&amp;time_control=12&amp;name=</v>
      </c>
      <c r="X171" s="2" t="str">
        <f t="shared" si="32"/>
        <v>Wrong%20invitation</v>
      </c>
      <c r="Y171" s="12" t="str">
        <f t="shared" si="33"/>
        <v>Wrong invitation</v>
      </c>
      <c r="Z171" s="3" t="str">
        <f t="shared" si="34"/>
        <v/>
      </c>
      <c r="AA171" s="3" t="s">
        <v>617</v>
      </c>
      <c r="AB171" s="3" t="str">
        <f t="shared" si="35"/>
        <v>Wrong invitation</v>
      </c>
    </row>
    <row r="172" spans="1:28" hidden="1" x14ac:dyDescent="0.35">
      <c r="A172" s="2" t="s">
        <v>900</v>
      </c>
      <c r="B172" s="51" t="e">
        <f>VLOOKUP(J172,Tabelle1!A:B,2,FALSE)</f>
        <v>#N/A</v>
      </c>
      <c r="D172" s="51" t="e">
        <v>#N/A</v>
      </c>
      <c r="E172" s="11" t="e">
        <f t="shared" si="30"/>
        <v>#N/A</v>
      </c>
      <c r="G172" s="2" t="s">
        <v>54</v>
      </c>
      <c r="J172" s="3" t="s">
        <v>179</v>
      </c>
      <c r="K172" s="3">
        <v>28600</v>
      </c>
      <c r="L172" s="2" t="s">
        <v>178</v>
      </c>
      <c r="N172" s="3" t="s">
        <v>198</v>
      </c>
      <c r="O172" s="3"/>
      <c r="P172" s="3"/>
      <c r="Q172" s="2" t="s">
        <v>180</v>
      </c>
      <c r="T172" s="2">
        <v>1</v>
      </c>
      <c r="U172" s="2">
        <v>11</v>
      </c>
      <c r="V172" s="2">
        <v>12</v>
      </c>
      <c r="W172" s="1" t="str">
        <f t="shared" si="31"/>
        <v>http://www.dailygammon.com/bg/invite/new?submit=invite&amp;variant=1&amp;length=11&amp;time_control=12&amp;name=</v>
      </c>
      <c r="X172" s="2" t="str">
        <f t="shared" si="32"/>
        <v>Wrong%20invitation</v>
      </c>
      <c r="Y172" s="12" t="str">
        <f t="shared" si="33"/>
        <v>Wrong invitation</v>
      </c>
      <c r="Z172" s="3" t="str">
        <f t="shared" si="34"/>
        <v/>
      </c>
      <c r="AA172" s="3" t="s">
        <v>617</v>
      </c>
      <c r="AB172" s="3" t="str">
        <f t="shared" si="35"/>
        <v>Wrong invitation</v>
      </c>
    </row>
    <row r="173" spans="1:28" hidden="1" x14ac:dyDescent="0.35">
      <c r="B173" s="51" t="e">
        <f>VLOOKUP(J173,Tabelle1!A:B,2,FALSE)</f>
        <v>#N/A</v>
      </c>
      <c r="D173" s="51" t="e">
        <v>#N/A</v>
      </c>
      <c r="E173" s="11" t="e">
        <f t="shared" si="30"/>
        <v>#N/A</v>
      </c>
      <c r="G173" s="2" t="s">
        <v>54</v>
      </c>
      <c r="J173" s="3" t="s">
        <v>454</v>
      </c>
      <c r="K173" s="3">
        <v>21584</v>
      </c>
      <c r="L173" s="2" t="s">
        <v>478</v>
      </c>
      <c r="M173" s="2" t="s">
        <v>479</v>
      </c>
      <c r="N173" s="3" t="s">
        <v>477</v>
      </c>
      <c r="Q173" s="2" t="s">
        <v>480</v>
      </c>
      <c r="T173" s="2">
        <v>1</v>
      </c>
      <c r="U173" s="2">
        <v>11</v>
      </c>
      <c r="V173" s="2">
        <v>12</v>
      </c>
      <c r="W173" s="1" t="str">
        <f t="shared" si="31"/>
        <v>http://www.dailygammon.com/bg/invite/new?submit=invite&amp;variant=1&amp;length=11&amp;time_control=12&amp;name=</v>
      </c>
      <c r="X173" s="2" t="str">
        <f t="shared" si="32"/>
        <v>Wrong%20invitation</v>
      </c>
      <c r="Y173" s="12" t="str">
        <f t="shared" si="33"/>
        <v>Wrong invitation</v>
      </c>
      <c r="Z173" s="3" t="str">
        <f t="shared" si="34"/>
        <v/>
      </c>
      <c r="AA173" s="3" t="s">
        <v>617</v>
      </c>
      <c r="AB173" s="3" t="str">
        <f t="shared" si="35"/>
        <v>Wrong invitation</v>
      </c>
    </row>
    <row r="174" spans="1:28" hidden="1" x14ac:dyDescent="0.35">
      <c r="B174" s="51" t="e">
        <f>VLOOKUP(J174,Tabelle1!A:B,2,FALSE)</f>
        <v>#N/A</v>
      </c>
      <c r="D174" s="51" t="e">
        <v>#N/A</v>
      </c>
      <c r="E174" s="11" t="e">
        <f t="shared" si="30"/>
        <v>#N/A</v>
      </c>
      <c r="G174" s="2" t="s">
        <v>888</v>
      </c>
      <c r="J174" s="11" t="s">
        <v>746</v>
      </c>
      <c r="K174" s="3">
        <v>38828</v>
      </c>
      <c r="L174" s="2" t="s">
        <v>724</v>
      </c>
      <c r="M174" s="2" t="s">
        <v>760</v>
      </c>
      <c r="N174" s="3" t="s">
        <v>745</v>
      </c>
      <c r="S174" s="2" t="s">
        <v>761</v>
      </c>
      <c r="T174" s="2">
        <v>1</v>
      </c>
      <c r="U174" s="2">
        <v>11</v>
      </c>
      <c r="V174" s="2">
        <v>12</v>
      </c>
      <c r="W174" s="1" t="str">
        <f t="shared" si="31"/>
        <v>http://www.dailygammon.com/bg/invite/new?submit=invite&amp;variant=1&amp;length=11&amp;time_control=12&amp;name=</v>
      </c>
      <c r="X174" s="2" t="str">
        <f t="shared" si="32"/>
        <v>Wrong%20invitation</v>
      </c>
      <c r="Y174" s="12" t="str">
        <f t="shared" si="33"/>
        <v>Wrong invitation</v>
      </c>
      <c r="Z174" s="3" t="str">
        <f t="shared" si="34"/>
        <v/>
      </c>
      <c r="AA174" s="3" t="s">
        <v>617</v>
      </c>
      <c r="AB174" s="3" t="str">
        <f t="shared" si="35"/>
        <v>Wrong invitation</v>
      </c>
    </row>
    <row r="175" spans="1:28" hidden="1" x14ac:dyDescent="0.35">
      <c r="B175" s="51" t="e">
        <f>VLOOKUP(J175,Tabelle1!A:B,2,FALSE)</f>
        <v>#N/A</v>
      </c>
      <c r="C175" s="19"/>
      <c r="D175" s="51" t="e">
        <v>#N/A</v>
      </c>
      <c r="E175" s="11" t="e">
        <f t="shared" si="30"/>
        <v>#N/A</v>
      </c>
      <c r="G175" s="2" t="s">
        <v>54</v>
      </c>
      <c r="J175" s="3" t="s">
        <v>517</v>
      </c>
      <c r="K175" s="3">
        <v>10812</v>
      </c>
      <c r="L175" s="2" t="s">
        <v>518</v>
      </c>
      <c r="N175" s="3" t="s">
        <v>609</v>
      </c>
      <c r="Q175" s="2" t="s">
        <v>519</v>
      </c>
      <c r="S175" s="2" t="s">
        <v>538</v>
      </c>
      <c r="T175" s="2">
        <v>1</v>
      </c>
      <c r="U175" s="2">
        <v>11</v>
      </c>
      <c r="V175" s="2">
        <v>12</v>
      </c>
      <c r="W175" s="1" t="str">
        <f t="shared" si="31"/>
        <v>http://www.dailygammon.com/bg/invite/new?submit=invite&amp;variant=1&amp;length=11&amp;time_control=12&amp;name=</v>
      </c>
      <c r="X175" s="2" t="str">
        <f t="shared" si="32"/>
        <v>Wrong%20invitation</v>
      </c>
      <c r="Y175" s="12" t="str">
        <f t="shared" si="33"/>
        <v>Wrong invitation</v>
      </c>
      <c r="Z175" s="3" t="str">
        <f t="shared" si="34"/>
        <v/>
      </c>
      <c r="AA175" s="3" t="s">
        <v>617</v>
      </c>
      <c r="AB175" s="3" t="str">
        <f t="shared" si="35"/>
        <v>Wrong invitation</v>
      </c>
    </row>
    <row r="176" spans="1:28" hidden="1" x14ac:dyDescent="0.35">
      <c r="B176" s="51" t="e">
        <f>VLOOKUP(J176,Tabelle1!A:B,2,FALSE)</f>
        <v>#N/A</v>
      </c>
      <c r="C176" s="19"/>
      <c r="D176" s="51" t="e">
        <v>#N/A</v>
      </c>
      <c r="E176" s="11" t="e">
        <f t="shared" si="30"/>
        <v>#N/A</v>
      </c>
      <c r="G176" s="2" t="s">
        <v>54</v>
      </c>
      <c r="J176" s="3" t="s">
        <v>516</v>
      </c>
      <c r="K176" s="3">
        <v>21067</v>
      </c>
      <c r="L176" s="2" t="s">
        <v>45</v>
      </c>
      <c r="N176" s="3" t="s">
        <v>608</v>
      </c>
      <c r="Q176" s="2" t="s">
        <v>597</v>
      </c>
      <c r="S176" s="2" t="s">
        <v>534</v>
      </c>
      <c r="T176" s="2">
        <v>1</v>
      </c>
      <c r="U176" s="2">
        <v>11</v>
      </c>
      <c r="V176" s="2">
        <v>12</v>
      </c>
      <c r="W176" s="1" t="str">
        <f t="shared" si="31"/>
        <v>http://www.dailygammon.com/bg/invite/new?submit=invite&amp;variant=1&amp;length=11&amp;time_control=12&amp;name=</v>
      </c>
      <c r="X176" s="2" t="str">
        <f t="shared" si="32"/>
        <v>Wrong%20invitation</v>
      </c>
      <c r="Y176" s="12" t="str">
        <f t="shared" si="33"/>
        <v>Wrong invitation</v>
      </c>
      <c r="Z176" s="3" t="str">
        <f t="shared" si="34"/>
        <v/>
      </c>
      <c r="AA176" s="3" t="s">
        <v>617</v>
      </c>
      <c r="AB176" s="3" t="str">
        <f t="shared" si="35"/>
        <v>Wrong invitation</v>
      </c>
    </row>
    <row r="177" spans="1:28" ht="29" hidden="1" x14ac:dyDescent="0.35">
      <c r="B177" s="51" t="e">
        <f>VLOOKUP(J177,Tabelle1!A:B,2,FALSE)</f>
        <v>#N/A</v>
      </c>
      <c r="D177" s="51" t="e">
        <v>#N/A</v>
      </c>
      <c r="E177" s="11" t="e">
        <f t="shared" si="30"/>
        <v>#N/A</v>
      </c>
      <c r="G177" s="2" t="s">
        <v>54</v>
      </c>
      <c r="J177" s="3" t="s">
        <v>24</v>
      </c>
      <c r="K177" s="3">
        <v>6856</v>
      </c>
      <c r="L177" s="2" t="s">
        <v>23</v>
      </c>
      <c r="N177" s="7" t="s">
        <v>368</v>
      </c>
      <c r="O177" s="7" t="s">
        <v>367</v>
      </c>
      <c r="Q177" s="2" t="s">
        <v>25</v>
      </c>
      <c r="S177" s="2" t="s">
        <v>422</v>
      </c>
      <c r="T177" s="2">
        <v>1</v>
      </c>
      <c r="U177" s="2">
        <v>11</v>
      </c>
      <c r="V177" s="2">
        <v>12</v>
      </c>
      <c r="W177" s="1" t="str">
        <f t="shared" si="31"/>
        <v>http://www.dailygammon.com/bg/invite/new?submit=invite&amp;variant=1&amp;length=11&amp;time_control=12&amp;name=</v>
      </c>
      <c r="X177" s="2" t="str">
        <f t="shared" si="32"/>
        <v>Wrong%20invitation</v>
      </c>
      <c r="Y177" s="12" t="str">
        <f t="shared" si="33"/>
        <v>Wrong invitation</v>
      </c>
      <c r="Z177" s="3" t="str">
        <f t="shared" si="34"/>
        <v/>
      </c>
      <c r="AA177" s="3" t="s">
        <v>617</v>
      </c>
      <c r="AB177" s="3" t="str">
        <f t="shared" si="35"/>
        <v>Wrong invitation</v>
      </c>
    </row>
    <row r="178" spans="1:28" hidden="1" x14ac:dyDescent="0.35">
      <c r="A178" s="2" t="s">
        <v>895</v>
      </c>
      <c r="B178" s="51" t="e">
        <f>VLOOKUP(J178,Tabelle1!A:B,2,FALSE)</f>
        <v>#N/A</v>
      </c>
      <c r="D178" s="51" t="e">
        <v>#N/A</v>
      </c>
      <c r="E178" s="11" t="e">
        <f t="shared" si="30"/>
        <v>#N/A</v>
      </c>
      <c r="G178" s="2" t="s">
        <v>54</v>
      </c>
      <c r="J178" s="6" t="s">
        <v>486</v>
      </c>
      <c r="K178" s="3">
        <v>5192</v>
      </c>
      <c r="L178" s="2" t="s">
        <v>23</v>
      </c>
      <c r="M178" s="2" t="s">
        <v>512</v>
      </c>
      <c r="N178" s="3" t="s">
        <v>487</v>
      </c>
      <c r="Q178" s="2" t="s">
        <v>488</v>
      </c>
      <c r="S178" s="3"/>
      <c r="T178" s="2">
        <v>1</v>
      </c>
      <c r="U178" s="2">
        <v>11</v>
      </c>
      <c r="V178" s="2">
        <v>12</v>
      </c>
      <c r="W178" s="1" t="str">
        <f t="shared" si="31"/>
        <v>http://www.dailygammon.com/bg/invite/new?submit=invite&amp;variant=1&amp;length=11&amp;time_control=12&amp;name=</v>
      </c>
      <c r="X178" s="2" t="str">
        <f t="shared" si="32"/>
        <v>Wrong%20invitation</v>
      </c>
      <c r="Y178" s="12" t="str">
        <f t="shared" si="33"/>
        <v>Wrong invitation</v>
      </c>
      <c r="Z178" s="3" t="str">
        <f t="shared" si="34"/>
        <v/>
      </c>
      <c r="AA178" s="3" t="s">
        <v>617</v>
      </c>
      <c r="AB178" s="3" t="str">
        <f t="shared" si="35"/>
        <v>Wrong invitation</v>
      </c>
    </row>
    <row r="179" spans="1:28" hidden="1" x14ac:dyDescent="0.35">
      <c r="B179" s="51" t="e">
        <f>VLOOKUP(J179,Tabelle1!A:B,2,FALSE)</f>
        <v>#N/A</v>
      </c>
      <c r="C179" s="19"/>
      <c r="D179" s="51" t="e">
        <v>#N/A</v>
      </c>
      <c r="E179" s="11" t="e">
        <f t="shared" si="30"/>
        <v>#N/A</v>
      </c>
      <c r="G179" s="2" t="s">
        <v>54</v>
      </c>
      <c r="J179" s="24" t="s">
        <v>737</v>
      </c>
      <c r="K179" s="20">
        <v>38806</v>
      </c>
      <c r="L179" s="18" t="s">
        <v>738</v>
      </c>
      <c r="N179" s="24" t="s">
        <v>739</v>
      </c>
      <c r="Q179" s="2" t="s">
        <v>722</v>
      </c>
      <c r="S179" s="2" t="s">
        <v>729</v>
      </c>
      <c r="T179" s="2">
        <v>1</v>
      </c>
      <c r="U179" s="2">
        <v>11</v>
      </c>
      <c r="V179" s="2">
        <v>12</v>
      </c>
      <c r="W179" s="1" t="str">
        <f t="shared" si="31"/>
        <v>http://www.dailygammon.com/bg/invite/new?submit=invite&amp;variant=1&amp;length=11&amp;time_control=12&amp;name=</v>
      </c>
      <c r="X179" s="2" t="str">
        <f t="shared" si="32"/>
        <v>Wrong%20invitation</v>
      </c>
      <c r="Y179" s="12" t="str">
        <f t="shared" si="33"/>
        <v>Wrong invitation</v>
      </c>
      <c r="Z179" s="3" t="str">
        <f t="shared" si="34"/>
        <v/>
      </c>
      <c r="AA179" s="3" t="s">
        <v>617</v>
      </c>
      <c r="AB179" s="3" t="str">
        <f t="shared" si="35"/>
        <v>Wrong invitation</v>
      </c>
    </row>
    <row r="180" spans="1:28" hidden="1" x14ac:dyDescent="0.35">
      <c r="B180" s="51" t="e">
        <f>VLOOKUP(J180,Tabelle1!A:B,2,FALSE)</f>
        <v>#N/A</v>
      </c>
      <c r="D180" s="51" t="e">
        <v>#N/A</v>
      </c>
      <c r="E180" s="11" t="e">
        <f t="shared" si="30"/>
        <v>#N/A</v>
      </c>
      <c r="G180" s="2" t="s">
        <v>54</v>
      </c>
      <c r="J180" s="3" t="s">
        <v>404</v>
      </c>
      <c r="K180" s="3">
        <v>31552</v>
      </c>
      <c r="L180" t="s">
        <v>405</v>
      </c>
      <c r="N180" s="3" t="s">
        <v>406</v>
      </c>
      <c r="Q180" s="2" t="s">
        <v>174</v>
      </c>
      <c r="S180" s="2" t="s">
        <v>407</v>
      </c>
      <c r="T180" s="2">
        <v>1</v>
      </c>
      <c r="U180" s="2">
        <v>11</v>
      </c>
      <c r="V180" s="2">
        <v>12</v>
      </c>
      <c r="W180" s="1" t="str">
        <f t="shared" si="31"/>
        <v>http://www.dailygammon.com/bg/invite/new?submit=invite&amp;variant=1&amp;length=11&amp;time_control=12&amp;name=</v>
      </c>
      <c r="X180" s="2" t="str">
        <f t="shared" si="32"/>
        <v>Wrong%20invitation</v>
      </c>
      <c r="Y180" s="12" t="str">
        <f t="shared" si="33"/>
        <v>Wrong invitation</v>
      </c>
      <c r="Z180" s="3" t="str">
        <f t="shared" si="34"/>
        <v/>
      </c>
      <c r="AA180" s="3" t="s">
        <v>617</v>
      </c>
      <c r="AB180" s="3" t="str">
        <f t="shared" si="35"/>
        <v>Wrong invitation</v>
      </c>
    </row>
    <row r="181" spans="1:28" ht="14.4" hidden="1" customHeight="1" x14ac:dyDescent="0.35">
      <c r="B181" s="51" t="e">
        <f>VLOOKUP(J181,Tabelle1!A:B,2,FALSE)</f>
        <v>#N/A</v>
      </c>
      <c r="D181" s="51" t="e">
        <v>#N/A</v>
      </c>
      <c r="E181" s="11" t="e">
        <f t="shared" si="30"/>
        <v>#N/A</v>
      </c>
      <c r="G181" s="2" t="s">
        <v>54</v>
      </c>
      <c r="J181" s="30" t="s">
        <v>340</v>
      </c>
      <c r="K181" s="3">
        <v>3792</v>
      </c>
      <c r="L181" s="2" t="s">
        <v>583</v>
      </c>
      <c r="M181" s="2" t="s">
        <v>352</v>
      </c>
      <c r="N181" s="3" t="s">
        <v>350</v>
      </c>
      <c r="O181" s="3" t="s">
        <v>714</v>
      </c>
      <c r="P181" s="3"/>
      <c r="Q181" s="2" t="s">
        <v>351</v>
      </c>
      <c r="S181" s="2" t="s">
        <v>632</v>
      </c>
      <c r="T181" s="2">
        <v>1</v>
      </c>
      <c r="U181" s="2">
        <v>11</v>
      </c>
      <c r="V181" s="2">
        <v>12</v>
      </c>
      <c r="W181" s="1" t="str">
        <f t="shared" si="31"/>
        <v>http://www.dailygammon.com/bg/invite/new?submit=invite&amp;variant=1&amp;length=11&amp;time_control=12&amp;name=</v>
      </c>
      <c r="X181" s="2" t="str">
        <f t="shared" si="32"/>
        <v>Wrong%20invitation</v>
      </c>
      <c r="Y181" s="12" t="str">
        <f t="shared" si="33"/>
        <v>Wrong invitation</v>
      </c>
      <c r="Z181" s="3" t="str">
        <f t="shared" si="34"/>
        <v/>
      </c>
      <c r="AA181" s="3" t="s">
        <v>617</v>
      </c>
      <c r="AB181" s="3" t="str">
        <f t="shared" si="35"/>
        <v>Wrong invitation</v>
      </c>
    </row>
    <row r="182" spans="1:28" hidden="1" x14ac:dyDescent="0.35">
      <c r="B182" s="51" t="e">
        <f>VLOOKUP(J182,Tabelle1!A:B,2,FALSE)</f>
        <v>#N/A</v>
      </c>
      <c r="D182" s="51" t="e">
        <v>#N/A</v>
      </c>
      <c r="E182" s="11" t="e">
        <f t="shared" si="30"/>
        <v>#N/A</v>
      </c>
      <c r="G182" s="2" t="s">
        <v>54</v>
      </c>
      <c r="J182" s="12" t="s">
        <v>742</v>
      </c>
      <c r="K182" s="12"/>
      <c r="S182" s="2" t="s">
        <v>770</v>
      </c>
      <c r="T182" s="2">
        <v>1</v>
      </c>
      <c r="U182" s="2">
        <v>11</v>
      </c>
      <c r="V182" s="2">
        <v>12</v>
      </c>
      <c r="W182" s="1" t="str">
        <f t="shared" si="31"/>
        <v>http://www.dailygammon.com/bg/invite/new?submit=invite&amp;variant=1&amp;length=11&amp;time_control=12&amp;name=</v>
      </c>
      <c r="X182" s="2" t="str">
        <f t="shared" si="32"/>
        <v>Wrong%20invitation</v>
      </c>
      <c r="Y182" s="12" t="str">
        <f t="shared" si="33"/>
        <v>Wrong invitation</v>
      </c>
      <c r="Z182" s="3" t="str">
        <f t="shared" si="34"/>
        <v/>
      </c>
      <c r="AA182" s="3" t="s">
        <v>617</v>
      </c>
      <c r="AB182" s="3" t="str">
        <f t="shared" si="35"/>
        <v>Wrong invitation</v>
      </c>
    </row>
    <row r="183" spans="1:28" hidden="1" x14ac:dyDescent="0.35">
      <c r="B183" s="51" t="e">
        <f>VLOOKUP(J183,Tabelle1!A:B,2,FALSE)</f>
        <v>#N/A</v>
      </c>
      <c r="D183" s="51" t="e">
        <v>#N/A</v>
      </c>
      <c r="E183" s="11" t="e">
        <f t="shared" si="30"/>
        <v>#N/A</v>
      </c>
      <c r="G183" s="2" t="s">
        <v>54</v>
      </c>
      <c r="J183" s="3" t="s">
        <v>590</v>
      </c>
      <c r="K183" s="3">
        <v>22072</v>
      </c>
      <c r="Q183" t="s">
        <v>597</v>
      </c>
      <c r="R183"/>
      <c r="S183" s="2" t="s">
        <v>598</v>
      </c>
      <c r="T183" s="2">
        <v>1</v>
      </c>
      <c r="U183" s="2">
        <v>11</v>
      </c>
      <c r="V183" s="2">
        <v>12</v>
      </c>
      <c r="W183" s="1" t="str">
        <f t="shared" si="31"/>
        <v>http://www.dailygammon.com/bg/invite/new?submit=invite&amp;variant=1&amp;length=11&amp;time_control=12&amp;name=</v>
      </c>
      <c r="X183" s="2" t="str">
        <f t="shared" si="32"/>
        <v>Wrong%20invitation</v>
      </c>
      <c r="Y183" s="12" t="str">
        <f t="shared" si="33"/>
        <v>Wrong invitation</v>
      </c>
      <c r="Z183" s="3" t="str">
        <f t="shared" si="34"/>
        <v/>
      </c>
      <c r="AA183" s="3" t="s">
        <v>617</v>
      </c>
      <c r="AB183" s="3" t="str">
        <f t="shared" si="35"/>
        <v>Wrong invitation</v>
      </c>
    </row>
    <row r="184" spans="1:28" hidden="1" x14ac:dyDescent="0.35">
      <c r="B184" s="51" t="e">
        <f>VLOOKUP(J184,Tabelle1!A:B,2,FALSE)</f>
        <v>#N/A</v>
      </c>
      <c r="C184" s="19"/>
      <c r="D184" s="51" t="e">
        <v>#N/A</v>
      </c>
      <c r="E184" s="11" t="e">
        <f t="shared" si="30"/>
        <v>#N/A</v>
      </c>
      <c r="G184" s="2" t="s">
        <v>54</v>
      </c>
      <c r="J184" s="3" t="s">
        <v>341</v>
      </c>
      <c r="K184" s="3">
        <v>14546</v>
      </c>
      <c r="L184" s="2" t="s">
        <v>354</v>
      </c>
      <c r="M184" s="2" t="s">
        <v>349</v>
      </c>
      <c r="N184" s="3" t="s">
        <v>373</v>
      </c>
      <c r="P184" s="2" t="s">
        <v>777</v>
      </c>
      <c r="Q184" s="2" t="s">
        <v>355</v>
      </c>
      <c r="S184" s="2" t="s">
        <v>356</v>
      </c>
      <c r="T184" s="2">
        <v>1</v>
      </c>
      <c r="U184" s="2">
        <v>11</v>
      </c>
      <c r="V184" s="2">
        <v>12</v>
      </c>
      <c r="W184" s="1" t="str">
        <f t="shared" si="31"/>
        <v>http://www.dailygammon.com/bg/invite/new?submit=invite&amp;variant=1&amp;length=11&amp;time_control=12&amp;name=</v>
      </c>
      <c r="X184" s="2" t="str">
        <f t="shared" si="32"/>
        <v>Wrong%20invitation</v>
      </c>
      <c r="Y184" s="12" t="str">
        <f t="shared" si="33"/>
        <v>Wrong invitation</v>
      </c>
      <c r="Z184" s="3" t="str">
        <f t="shared" si="34"/>
        <v/>
      </c>
      <c r="AA184" s="3" t="s">
        <v>617</v>
      </c>
      <c r="AB184" s="3" t="str">
        <f t="shared" si="35"/>
        <v>Wrong invitation</v>
      </c>
    </row>
    <row r="185" spans="1:28" hidden="1" x14ac:dyDescent="0.35">
      <c r="B185" s="51" t="e">
        <f>VLOOKUP(J185,Tabelle1!A:B,2,FALSE)</f>
        <v>#N/A</v>
      </c>
      <c r="D185" s="51" t="e">
        <v>#N/A</v>
      </c>
      <c r="E185" s="11" t="e">
        <f t="shared" si="30"/>
        <v>#N/A</v>
      </c>
      <c r="G185" s="2" t="s">
        <v>54</v>
      </c>
      <c r="J185" s="3" t="s">
        <v>463</v>
      </c>
      <c r="K185" s="11">
        <v>37422</v>
      </c>
      <c r="L185" s="2" t="s">
        <v>426</v>
      </c>
      <c r="M185" s="2" t="s">
        <v>427</v>
      </c>
      <c r="N185" s="3" t="s">
        <v>425</v>
      </c>
      <c r="S185" s="2" t="s">
        <v>461</v>
      </c>
      <c r="T185" s="2">
        <v>1</v>
      </c>
      <c r="U185" s="2">
        <v>11</v>
      </c>
      <c r="V185" s="2">
        <v>12</v>
      </c>
      <c r="W185" s="1" t="str">
        <f t="shared" si="31"/>
        <v>http://www.dailygammon.com/bg/invite/new?submit=invite&amp;variant=1&amp;length=11&amp;time_control=12&amp;name=</v>
      </c>
      <c r="X185" s="2" t="str">
        <f t="shared" si="32"/>
        <v>Wrong%20invitation</v>
      </c>
      <c r="Y185" s="12" t="str">
        <f t="shared" si="33"/>
        <v>Wrong invitation</v>
      </c>
      <c r="Z185" s="3" t="str">
        <f t="shared" si="34"/>
        <v/>
      </c>
      <c r="AA185" s="3" t="s">
        <v>617</v>
      </c>
      <c r="AB185" s="3" t="str">
        <f t="shared" si="35"/>
        <v>Wrong invitation</v>
      </c>
    </row>
    <row r="186" spans="1:28" hidden="1" x14ac:dyDescent="0.35">
      <c r="B186" s="51" t="e">
        <f>VLOOKUP(J186,Tabelle1!A:B,2,FALSE)</f>
        <v>#N/A</v>
      </c>
      <c r="D186" s="51" t="e">
        <v>#N/A</v>
      </c>
      <c r="E186" s="11" t="e">
        <f t="shared" si="30"/>
        <v>#N/A</v>
      </c>
      <c r="G186" s="2" t="s">
        <v>54</v>
      </c>
      <c r="J186" s="3" t="s">
        <v>399</v>
      </c>
      <c r="K186" s="3">
        <v>33328</v>
      </c>
      <c r="L186" s="2" t="s">
        <v>23</v>
      </c>
      <c r="M186" s="2" t="s">
        <v>402</v>
      </c>
      <c r="N186" s="3" t="s">
        <v>400</v>
      </c>
      <c r="Q186" s="2" t="s">
        <v>403</v>
      </c>
      <c r="S186" s="2" t="s">
        <v>401</v>
      </c>
      <c r="T186" s="2">
        <v>1</v>
      </c>
      <c r="U186" s="2">
        <v>11</v>
      </c>
      <c r="V186" s="2">
        <v>12</v>
      </c>
      <c r="W186" s="1" t="str">
        <f t="shared" si="31"/>
        <v>http://www.dailygammon.com/bg/invite/new?submit=invite&amp;variant=1&amp;length=11&amp;time_control=12&amp;name=</v>
      </c>
      <c r="X186" s="2" t="str">
        <f t="shared" si="32"/>
        <v>Wrong%20invitation</v>
      </c>
      <c r="Y186" s="12" t="str">
        <f t="shared" si="33"/>
        <v>Wrong invitation</v>
      </c>
      <c r="Z186" s="3" t="str">
        <f t="shared" si="34"/>
        <v/>
      </c>
      <c r="AA186" s="3" t="s">
        <v>617</v>
      </c>
      <c r="AB186" s="3" t="str">
        <f t="shared" si="35"/>
        <v>Wrong invitation</v>
      </c>
    </row>
    <row r="187" spans="1:28" hidden="1" x14ac:dyDescent="0.35">
      <c r="B187" s="51" t="e">
        <f>VLOOKUP(J187,Tabelle1!A:B,2,FALSE)</f>
        <v>#N/A</v>
      </c>
      <c r="C187" s="19"/>
      <c r="D187" s="51" t="e">
        <v>#N/A</v>
      </c>
      <c r="E187" s="11" t="e">
        <f t="shared" si="30"/>
        <v>#N/A</v>
      </c>
      <c r="G187" s="2" t="s">
        <v>54</v>
      </c>
      <c r="J187" s="3" t="s">
        <v>441</v>
      </c>
      <c r="K187" s="3">
        <v>18771</v>
      </c>
      <c r="N187" s="3" t="s">
        <v>633</v>
      </c>
      <c r="Q187" t="s">
        <v>442</v>
      </c>
      <c r="R187"/>
      <c r="T187" s="2">
        <v>1</v>
      </c>
      <c r="U187" s="2">
        <v>11</v>
      </c>
      <c r="V187" s="2">
        <v>12</v>
      </c>
      <c r="W187" s="1" t="str">
        <f t="shared" si="31"/>
        <v>http://www.dailygammon.com/bg/invite/new?submit=invite&amp;variant=1&amp;length=11&amp;time_control=12&amp;name=</v>
      </c>
      <c r="X187" s="2" t="str">
        <f t="shared" si="32"/>
        <v>Wrong%20invitation</v>
      </c>
      <c r="Y187" s="12" t="str">
        <f t="shared" si="33"/>
        <v>Wrong invitation</v>
      </c>
      <c r="Z187" s="3" t="str">
        <f t="shared" si="34"/>
        <v/>
      </c>
      <c r="AA187" s="3" t="s">
        <v>617</v>
      </c>
      <c r="AB187" s="3" t="str">
        <f t="shared" si="35"/>
        <v>Wrong invitation</v>
      </c>
    </row>
    <row r="188" spans="1:28" hidden="1" x14ac:dyDescent="0.35">
      <c r="B188" s="51" t="e">
        <f>VLOOKUP(J188,Tabelle1!A:B,2,FALSE)</f>
        <v>#N/A</v>
      </c>
      <c r="D188" s="51" t="e">
        <v>#N/A</v>
      </c>
      <c r="E188" s="11" t="e">
        <f t="shared" si="30"/>
        <v>#N/A</v>
      </c>
      <c r="G188" s="2" t="s">
        <v>54</v>
      </c>
      <c r="J188" s="3" t="s">
        <v>524</v>
      </c>
      <c r="K188" s="3">
        <v>296</v>
      </c>
      <c r="L188" s="2" t="s">
        <v>525</v>
      </c>
      <c r="Q188" s="2" t="s">
        <v>526</v>
      </c>
      <c r="S188" s="2" t="s">
        <v>713</v>
      </c>
      <c r="T188" s="2">
        <v>1</v>
      </c>
      <c r="U188" s="2">
        <v>11</v>
      </c>
      <c r="V188" s="2">
        <v>12</v>
      </c>
      <c r="W188" s="1" t="str">
        <f t="shared" si="31"/>
        <v>http://www.dailygammon.com/bg/invite/new?submit=invite&amp;variant=1&amp;length=11&amp;time_control=12&amp;name=</v>
      </c>
      <c r="X188" s="2" t="str">
        <f t="shared" si="32"/>
        <v>Wrong%20invitation</v>
      </c>
      <c r="Y188" s="12" t="str">
        <f t="shared" si="33"/>
        <v>Wrong invitation</v>
      </c>
      <c r="Z188" s="3" t="str">
        <f t="shared" si="34"/>
        <v/>
      </c>
      <c r="AA188" s="3" t="s">
        <v>617</v>
      </c>
      <c r="AB188" s="3" t="str">
        <f t="shared" si="35"/>
        <v>Wrong invitation</v>
      </c>
    </row>
    <row r="189" spans="1:28" hidden="1" x14ac:dyDescent="0.35">
      <c r="B189" s="51" t="e">
        <f>VLOOKUP(J189,Tabelle1!A:B,2,FALSE)</f>
        <v>#N/A</v>
      </c>
      <c r="D189" s="51" t="e">
        <v>#N/A</v>
      </c>
      <c r="E189" s="11" t="e">
        <f t="shared" si="30"/>
        <v>#N/A</v>
      </c>
      <c r="G189" s="2" t="s">
        <v>54</v>
      </c>
      <c r="J189" s="7" t="s">
        <v>639</v>
      </c>
      <c r="K189" s="3">
        <v>1106</v>
      </c>
      <c r="N189" s="3"/>
      <c r="S189" s="2" t="s">
        <v>650</v>
      </c>
      <c r="T189" s="2">
        <v>1</v>
      </c>
      <c r="U189" s="2">
        <v>11</v>
      </c>
      <c r="V189" s="2">
        <v>12</v>
      </c>
      <c r="W189" s="1" t="str">
        <f t="shared" si="31"/>
        <v>http://www.dailygammon.com/bg/invite/new?submit=invite&amp;variant=1&amp;length=11&amp;time_control=12&amp;name=</v>
      </c>
      <c r="X189" s="2" t="str">
        <f t="shared" si="32"/>
        <v>Wrong%20invitation</v>
      </c>
      <c r="Y189" s="12" t="str">
        <f t="shared" si="33"/>
        <v>Wrong invitation</v>
      </c>
      <c r="Z189" s="3" t="str">
        <f t="shared" si="34"/>
        <v/>
      </c>
      <c r="AA189" s="3" t="s">
        <v>617</v>
      </c>
      <c r="AB189" s="3" t="str">
        <f t="shared" si="35"/>
        <v>Wrong invitation</v>
      </c>
    </row>
    <row r="190" spans="1:28" hidden="1" x14ac:dyDescent="0.35">
      <c r="B190" s="51" t="e">
        <f>VLOOKUP(J190,Tabelle1!A:B,2,FALSE)</f>
        <v>#N/A</v>
      </c>
      <c r="D190" s="51" t="e">
        <v>#N/A</v>
      </c>
      <c r="E190" s="11" t="e">
        <f t="shared" si="30"/>
        <v>#N/A</v>
      </c>
      <c r="G190" s="2" t="s">
        <v>54</v>
      </c>
      <c r="J190" s="3" t="s">
        <v>221</v>
      </c>
      <c r="K190" s="3">
        <v>22660</v>
      </c>
      <c r="L190" s="2" t="s">
        <v>219</v>
      </c>
      <c r="N190" s="3" t="s">
        <v>220</v>
      </c>
      <c r="O190" s="3" t="s">
        <v>383</v>
      </c>
      <c r="P190" s="3"/>
      <c r="Q190" s="2" t="s">
        <v>222</v>
      </c>
      <c r="T190" s="2">
        <v>1</v>
      </c>
      <c r="U190" s="2">
        <v>11</v>
      </c>
      <c r="V190" s="2">
        <v>12</v>
      </c>
      <c r="W190" s="1" t="str">
        <f t="shared" si="31"/>
        <v>http://www.dailygammon.com/bg/invite/new?submit=invite&amp;variant=1&amp;length=11&amp;time_control=12&amp;name=</v>
      </c>
      <c r="X190" s="2" t="str">
        <f t="shared" si="32"/>
        <v>Wrong%20invitation</v>
      </c>
      <c r="Y190" s="12" t="str">
        <f t="shared" si="33"/>
        <v>Wrong invitation</v>
      </c>
      <c r="Z190" s="3" t="str">
        <f t="shared" si="34"/>
        <v/>
      </c>
      <c r="AA190" s="3" t="s">
        <v>617</v>
      </c>
      <c r="AB190" s="3" t="str">
        <f t="shared" si="35"/>
        <v>Wrong invitation</v>
      </c>
    </row>
    <row r="191" spans="1:28" hidden="1" x14ac:dyDescent="0.35">
      <c r="B191" s="51" t="e">
        <f>VLOOKUP(J191,Tabelle1!A:B,2,FALSE)</f>
        <v>#N/A</v>
      </c>
      <c r="D191" s="51" t="e">
        <v>#N/A</v>
      </c>
      <c r="E191" s="11" t="e">
        <f t="shared" si="30"/>
        <v>#N/A</v>
      </c>
      <c r="G191" s="2" t="s">
        <v>54</v>
      </c>
      <c r="J191" s="3" t="s">
        <v>226</v>
      </c>
      <c r="K191" s="3">
        <v>26178</v>
      </c>
      <c r="L191" s="2" t="s">
        <v>227</v>
      </c>
      <c r="N191" s="3" t="s">
        <v>229</v>
      </c>
      <c r="O191" s="3"/>
      <c r="P191" s="3"/>
      <c r="Q191" s="2" t="s">
        <v>228</v>
      </c>
      <c r="T191" s="2">
        <v>1</v>
      </c>
      <c r="U191" s="2">
        <v>11</v>
      </c>
      <c r="V191" s="2">
        <v>12</v>
      </c>
      <c r="W191" s="1" t="str">
        <f t="shared" si="31"/>
        <v>http://www.dailygammon.com/bg/invite/new?submit=invite&amp;variant=1&amp;length=11&amp;time_control=12&amp;name=</v>
      </c>
      <c r="X191" s="2" t="str">
        <f t="shared" si="32"/>
        <v>Wrong%20invitation</v>
      </c>
      <c r="Y191" s="12" t="str">
        <f t="shared" si="33"/>
        <v>Wrong invitation</v>
      </c>
      <c r="Z191" s="3" t="str">
        <f t="shared" si="34"/>
        <v/>
      </c>
      <c r="AA191" s="3" t="s">
        <v>617</v>
      </c>
      <c r="AB191" s="3" t="str">
        <f t="shared" si="35"/>
        <v>Wrong invitation</v>
      </c>
    </row>
    <row r="192" spans="1:28" hidden="1" x14ac:dyDescent="0.35">
      <c r="B192" s="51" t="e">
        <f>VLOOKUP(J192,Tabelle1!A:B,2,FALSE)</f>
        <v>#N/A</v>
      </c>
      <c r="D192" s="51" t="e">
        <v>#N/A</v>
      </c>
      <c r="E192" s="11" t="e">
        <f t="shared" si="30"/>
        <v>#N/A</v>
      </c>
      <c r="G192" s="2" t="s">
        <v>54</v>
      </c>
      <c r="J192" s="3" t="s">
        <v>592</v>
      </c>
      <c r="K192" s="3">
        <v>16036</v>
      </c>
      <c r="Q192" s="2" t="s">
        <v>602</v>
      </c>
      <c r="S192" s="2" t="s">
        <v>603</v>
      </c>
      <c r="T192" s="2">
        <v>1</v>
      </c>
      <c r="U192" s="2">
        <v>11</v>
      </c>
      <c r="V192" s="2">
        <v>12</v>
      </c>
      <c r="W192" s="1" t="str">
        <f t="shared" si="31"/>
        <v>http://www.dailygammon.com/bg/invite/new?submit=invite&amp;variant=1&amp;length=11&amp;time_control=12&amp;name=</v>
      </c>
      <c r="X192" s="2" t="str">
        <f t="shared" si="32"/>
        <v>Wrong%20invitation</v>
      </c>
      <c r="Y192" s="12" t="str">
        <f t="shared" si="33"/>
        <v>Wrong invitation</v>
      </c>
      <c r="Z192" s="3" t="str">
        <f t="shared" si="34"/>
        <v/>
      </c>
      <c r="AA192" s="3" t="s">
        <v>617</v>
      </c>
      <c r="AB192" s="3" t="str">
        <f t="shared" si="35"/>
        <v>Wrong invitation</v>
      </c>
    </row>
    <row r="193" spans="2:28" hidden="1" x14ac:dyDescent="0.35">
      <c r="B193" s="51" t="e">
        <f>VLOOKUP(J193,Tabelle1!A:B,2,FALSE)</f>
        <v>#N/A</v>
      </c>
      <c r="D193" s="51" t="e">
        <v>#N/A</v>
      </c>
      <c r="E193" s="11" t="e">
        <f t="shared" si="30"/>
        <v>#N/A</v>
      </c>
      <c r="G193" s="2" t="s">
        <v>54</v>
      </c>
      <c r="J193" s="6" t="s">
        <v>471</v>
      </c>
      <c r="K193" s="3">
        <v>23706</v>
      </c>
      <c r="L193" s="2" t="s">
        <v>472</v>
      </c>
      <c r="M193" s="2" t="s">
        <v>473</v>
      </c>
      <c r="N193" s="3" t="s">
        <v>474</v>
      </c>
      <c r="Q193" s="2" t="s">
        <v>475</v>
      </c>
      <c r="S193" s="3"/>
      <c r="T193" s="2">
        <v>1</v>
      </c>
      <c r="U193" s="2">
        <v>11</v>
      </c>
      <c r="V193" s="2">
        <v>12</v>
      </c>
      <c r="W193" s="1" t="str">
        <f t="shared" si="31"/>
        <v>http://www.dailygammon.com/bg/invite/new?submit=invite&amp;variant=1&amp;length=11&amp;time_control=12&amp;name=</v>
      </c>
      <c r="X193" s="2" t="str">
        <f t="shared" si="32"/>
        <v>Wrong%20invitation</v>
      </c>
      <c r="Y193" s="12" t="str">
        <f t="shared" si="33"/>
        <v>Wrong invitation</v>
      </c>
      <c r="Z193" s="3" t="str">
        <f t="shared" si="34"/>
        <v/>
      </c>
      <c r="AA193" s="3" t="s">
        <v>617</v>
      </c>
      <c r="AB193" s="3" t="str">
        <f t="shared" si="35"/>
        <v>Wrong invitation</v>
      </c>
    </row>
  </sheetData>
  <autoFilter ref="A1:AB193" xr:uid="{CB11615F-FBAB-463D-B81B-64921C5391F5}">
    <filterColumn colId="2">
      <filters>
        <filter val="34"/>
      </filters>
    </filterColumn>
    <sortState xmlns:xlrd2="http://schemas.microsoft.com/office/spreadsheetml/2017/richdata2" ref="A2:AB193">
      <sortCondition descending="1" ref="C2:C193"/>
      <sortCondition ref="D2:D193"/>
      <sortCondition ref="J2:J193"/>
    </sortState>
  </autoFilter>
  <sortState xmlns:xlrd2="http://schemas.microsoft.com/office/spreadsheetml/2017/richdata2" ref="A2:AB193">
    <sortCondition ref="J2:J193"/>
  </sortState>
  <hyperlinks>
    <hyperlink ref="N54" r:id="rId1" xr:uid="{CA5D7706-87FC-4F83-9549-7842F3B64644}"/>
    <hyperlink ref="J137" r:id="rId2" xr:uid="{B760CB96-11E3-4D76-9AF5-9D0DE9EE93B3}"/>
    <hyperlink ref="J133" r:id="rId3" xr:uid="{6176381C-B682-4F2B-98CD-AF376E54B976}"/>
    <hyperlink ref="J138" r:id="rId4" xr:uid="{C8D06043-0BDA-4108-993E-379FBD52E0CF}"/>
    <hyperlink ref="J113" r:id="rId5" xr:uid="{22514F93-8D30-416D-A554-142179658D0C}"/>
    <hyperlink ref="J132" r:id="rId6" xr:uid="{1E70C455-8E5C-4A8D-91FC-DEF629BB1341}"/>
    <hyperlink ref="J44" r:id="rId7" xr:uid="{6451E558-D521-4918-841B-05531C1C75AE}"/>
    <hyperlink ref="J54" r:id="rId8" xr:uid="{4F7FD266-BDC1-484A-A17E-3183715611BF}"/>
    <hyperlink ref="J120" r:id="rId9" xr:uid="{157F3E18-3996-438D-A0E1-FDBEC303CA5A}"/>
    <hyperlink ref="N120" r:id="rId10" xr:uid="{89AA9E08-1505-4853-BAC3-0062570D0D4C}"/>
    <hyperlink ref="N132" r:id="rId11" xr:uid="{25BE5DD5-6BE1-4F51-8AA5-9EE097BC16FB}"/>
    <hyperlink ref="N44" r:id="rId12" xr:uid="{9A68CA8B-7C05-4F23-9DE5-0C650113F0F3}"/>
    <hyperlink ref="N133" r:id="rId13" xr:uid="{8CB41818-9C54-4E45-AEE0-D927693713C6}"/>
    <hyperlink ref="N138" r:id="rId14" xr:uid="{B56CA2FD-1404-4165-BCA4-340CCD9D78BE}"/>
    <hyperlink ref="N113" r:id="rId15" xr:uid="{11BEA196-EEA7-49D7-875C-1B7F59DDBD0F}"/>
    <hyperlink ref="N19" r:id="rId16" xr:uid="{210AEF14-F0F4-42B7-927B-F86D675480EB}"/>
    <hyperlink ref="N116" r:id="rId17" xr:uid="{B50753D0-CC19-49D6-A633-CAFCEE640BE1}"/>
    <hyperlink ref="N62" r:id="rId18" xr:uid="{1E1C83E4-C5C3-468B-84C3-9E7F84ADECC3}"/>
    <hyperlink ref="N48" r:id="rId19" xr:uid="{9C53E722-8210-42F0-8060-594E9508D16E}"/>
    <hyperlink ref="N91" r:id="rId20" xr:uid="{4948702A-62C2-408C-B498-EC5ADACCC637}"/>
    <hyperlink ref="J91" r:id="rId21" xr:uid="{DC9D26EE-109F-4ECB-8506-7B32082DD36F}"/>
    <hyperlink ref="N167" r:id="rId22" xr:uid="{579AA87E-6AE7-4E2D-AA11-EE024EE6DFC1}"/>
    <hyperlink ref="J167" r:id="rId23" xr:uid="{DB0377CA-0C7B-48D1-ADCA-71A960B15CC2}"/>
    <hyperlink ref="J68" r:id="rId24" display="helmut2398" xr:uid="{DFC87070-B4F0-44B9-8006-E2479F2F1ACC}"/>
    <hyperlink ref="N68" r:id="rId25" xr:uid="{87675534-CE57-40C9-8A8D-85970657474A}"/>
    <hyperlink ref="J172" r:id="rId26" xr:uid="{BFDF6D53-416B-44EA-9448-D5CE98F68BBC}"/>
    <hyperlink ref="N163" r:id="rId27" xr:uid="{047A9BAF-AF81-4482-8277-14A7D8254148}"/>
    <hyperlink ref="J163" r:id="rId28" xr:uid="{E7F79782-EAF6-4027-A2C3-21D0DE477491}"/>
    <hyperlink ref="N117" r:id="rId29" xr:uid="{8593C136-9843-4422-9719-FA97D95D1523}"/>
    <hyperlink ref="J117" r:id="rId30" xr:uid="{BEB0FE65-D9A9-4891-A88B-FEE3D9481C93}"/>
    <hyperlink ref="J4" r:id="rId31" xr:uid="{BF3F6632-7662-4EC1-A2AC-6CD13424DD3C}"/>
    <hyperlink ref="N4" r:id="rId32" xr:uid="{F33E2B01-516B-4A2D-81C0-6E0DA17EAF4D}"/>
    <hyperlink ref="J12" r:id="rId33" xr:uid="{71933319-C4AA-44E4-BA1A-378C41D17C3F}"/>
    <hyperlink ref="N12" r:id="rId34" xr:uid="{E358C834-ED29-42D1-8BCA-48608C44B83E}"/>
    <hyperlink ref="J39" r:id="rId35" xr:uid="{30A7FA58-3043-435C-BE94-13FE66877E40}"/>
    <hyperlink ref="J35" r:id="rId36" xr:uid="{53A8FDF2-966B-4A1F-A637-DB2C2F510A0A}"/>
    <hyperlink ref="N35" r:id="rId37" xr:uid="{33CB6A9D-B3AB-435F-9151-6F9FBF1C770E}"/>
    <hyperlink ref="N172" r:id="rId38" xr:uid="{7B3D1BA9-AF85-409C-AEF5-A8BA9F4E847C}"/>
    <hyperlink ref="N30" r:id="rId39" xr:uid="{C43978A8-B9AB-4C2A-A81F-34015977EC6C}"/>
    <hyperlink ref="J30" r:id="rId40" xr:uid="{5BEA565C-AD8B-4025-9CFA-2BF2EAFCE8D0}"/>
    <hyperlink ref="N32" r:id="rId41" xr:uid="{6D9E36C2-8A60-4E96-90E5-8B257E1773C9}"/>
    <hyperlink ref="J32" r:id="rId42" xr:uid="{C1A85066-48AA-43EF-98AF-3FB499A4B0BE}"/>
    <hyperlink ref="N36" r:id="rId43" xr:uid="{B216382E-7F00-4FB5-8787-5628C2A9385D}"/>
    <hyperlink ref="J26" r:id="rId44" xr:uid="{483F604B-4A68-4BB4-B248-F49CD3A3CBEE}"/>
    <hyperlink ref="N26" r:id="rId45" xr:uid="{3BD17F8E-DB97-46A0-8EBD-03F8B877B8D2}"/>
    <hyperlink ref="J67" r:id="rId46" xr:uid="{1F7C922C-6725-498F-8BB7-750C2269B836}"/>
    <hyperlink ref="N67" r:id="rId47" xr:uid="{0C52DBC4-8A3A-476B-AB8B-3156B739D602}"/>
    <hyperlink ref="N190" r:id="rId48" xr:uid="{9DB5B510-7F9B-444C-B1D5-17ADE16FEF72}"/>
    <hyperlink ref="J190" r:id="rId49" xr:uid="{B2D6F94F-210C-4B84-A63D-02C4CA42F111}"/>
    <hyperlink ref="J58" r:id="rId50" xr:uid="{9DE4772B-2D59-4A7A-AA74-077CCBE6D58A}"/>
    <hyperlink ref="N191" r:id="rId51" xr:uid="{8C3D8D29-BF38-4A27-A722-9103552F0315}"/>
    <hyperlink ref="N80" r:id="rId52" xr:uid="{86544447-3FBF-4736-B862-177C952652E6}"/>
    <hyperlink ref="J160" r:id="rId53" xr:uid="{5440DEFF-55E4-4564-BDA3-8A533831DB75}"/>
    <hyperlink ref="N160" r:id="rId54" xr:uid="{B4554AD5-B127-4911-BF6E-770A1B2F2F84}"/>
    <hyperlink ref="J96" r:id="rId55" display="Izzak" xr:uid="{25EAA337-63F3-4443-8302-052D605CD862}"/>
    <hyperlink ref="J3" r:id="rId56" xr:uid="{D8DF670A-2CE0-45E5-903E-3C82833BE2C6}"/>
    <hyperlink ref="J40" r:id="rId57" xr:uid="{93840B57-B625-4D05-8849-CFAC05B598E5}"/>
    <hyperlink ref="N40" r:id="rId58" xr:uid="{574163D8-E314-4308-9453-5790B2CB1CFA}"/>
    <hyperlink ref="J69" r:id="rId59" xr:uid="{AAF86325-5AF7-42B2-B324-789868E7013F}"/>
    <hyperlink ref="J34" r:id="rId60" xr:uid="{01D63B3C-8410-4144-BEA0-8961EA2CD97C}"/>
    <hyperlink ref="J131" r:id="rId61" xr:uid="{495589DD-21E8-4FC1-BDD8-892BB0BFE147}"/>
    <hyperlink ref="J100" r:id="rId62" xr:uid="{40FB9C71-F4A5-451D-B485-BA90797B3995}"/>
    <hyperlink ref="J22" r:id="rId63" display="69 Sandman" xr:uid="{AF032911-6DA7-48F4-9DFF-EBDAB747D2B3}"/>
    <hyperlink ref="J84" r:id="rId64" xr:uid="{43DB99E4-78E2-4A0D-883F-08716F443111}"/>
    <hyperlink ref="J8" r:id="rId65" xr:uid="{939F9B65-543B-4303-BE19-1DA5D85E8E16}"/>
    <hyperlink ref="J46" r:id="rId66" display="Itcfbod" xr:uid="{5C68667C-1593-4F92-95FC-761946DD92BD}"/>
    <hyperlink ref="J141" r:id="rId67" xr:uid="{67235E37-7F39-472B-91F0-F585D0A985F2}"/>
    <hyperlink ref="J130" r:id="rId68" xr:uid="{ADD61469-CC28-4BDC-A7A7-7763F227870A}"/>
    <hyperlink ref="J62" r:id="rId69" xr:uid="{FF11DD86-7A02-41C5-BE0D-C5C02E4EBB3D}"/>
    <hyperlink ref="J159" r:id="rId70" xr:uid="{0A38A284-9AB4-4319-A7B6-74E6302CACDF}"/>
    <hyperlink ref="J78" r:id="rId71" xr:uid="{8B5F3F2F-21FD-47F3-A7FE-FE158246E47A}"/>
    <hyperlink ref="N49" r:id="rId72" xr:uid="{21FCCF9F-291E-42CC-A0EB-8BFE145DC410}"/>
    <hyperlink ref="J49" r:id="rId73" xr:uid="{88E91EFF-E10C-4528-9BBA-C1D39505059B}"/>
    <hyperlink ref="J24" r:id="rId74" xr:uid="{51BEA16A-D0C6-4C47-B3C9-A64E588331A2}"/>
    <hyperlink ref="J116" r:id="rId75" xr:uid="{C095A0DB-5D6B-4D46-B3E9-59D4F504233B}"/>
    <hyperlink ref="J150" r:id="rId76" xr:uid="{3726878E-0DBF-4626-9112-01CD8544EC57}"/>
    <hyperlink ref="N150" r:id="rId77" xr:uid="{562792F2-0A45-4BB2-9251-ED53B485EA1B}"/>
    <hyperlink ref="N58" r:id="rId78" xr:uid="{FF184919-7053-46D8-BB45-8B50F88E6A41}"/>
    <hyperlink ref="J154" r:id="rId79" xr:uid="{8543E28D-F22A-4135-B7FF-926BF0996EA4}"/>
    <hyperlink ref="J111" r:id="rId80" xr:uid="{931679DF-4BD4-454B-A3DB-DE25BB8D83AC}"/>
    <hyperlink ref="J16" r:id="rId81" xr:uid="{7416A922-FF0E-41EF-A162-1333A4C9A9ED}"/>
    <hyperlink ref="J76" r:id="rId82" xr:uid="{FCA7976B-C258-4C83-BE70-4CCB5669E9EF}"/>
    <hyperlink ref="J53" r:id="rId83" xr:uid="{A3371862-9F99-442E-BB09-509D5FD717AE}"/>
    <hyperlink ref="J110" r:id="rId84" xr:uid="{095F83A2-90A6-4D22-AFB4-4B067F7C7F61}"/>
    <hyperlink ref="J152" r:id="rId85" xr:uid="{08877D77-8CED-4839-881D-A50A26130D56}"/>
    <hyperlink ref="N53" r:id="rId86" xr:uid="{89781DF7-FB45-456D-9359-3503CB25697E}"/>
    <hyperlink ref="J92" r:id="rId87" xr:uid="{B1C21B76-33BA-4A4E-81D9-BDB83E8D0E5B}"/>
    <hyperlink ref="N92" r:id="rId88" xr:uid="{AB8F03AC-7D6F-476A-B65F-5B4DC5975A3E}"/>
    <hyperlink ref="N16" r:id="rId89" xr:uid="{848208E7-67FD-43E6-87D8-6381F204753B}"/>
    <hyperlink ref="N111" r:id="rId90" xr:uid="{EB3320E3-50B9-4B8E-9012-857D63235FF7}"/>
    <hyperlink ref="N76" r:id="rId91" xr:uid="{14B3CF0C-0152-4D63-BE26-F0FA6D0D1E53}"/>
    <hyperlink ref="J43" r:id="rId92" xr:uid="{5916CC97-CD96-4BA1-9FE6-D5F0B1E06A2C}"/>
    <hyperlink ref="J101" r:id="rId93" xr:uid="{3B2B2384-0A6D-4E0E-8828-EC65C29BF9D9}"/>
    <hyperlink ref="J63" r:id="rId94" xr:uid="{FA263E90-E7DE-4D2C-ABA6-600C7F5A5726}"/>
    <hyperlink ref="J184" r:id="rId95" xr:uid="{964C4446-EBA4-48B7-8487-C9C67C8C55F3}"/>
    <hyperlink ref="J37" r:id="rId96" xr:uid="{513F2686-ED49-4186-896F-FD67F154E7DA}"/>
    <hyperlink ref="J181" r:id="rId97" xr:uid="{892550DF-8352-4C04-94BE-98EDBF97D7DC}"/>
    <hyperlink ref="J50" r:id="rId98" xr:uid="{4B19F1D1-448C-457A-9EE2-D5C314E6E47E}"/>
    <hyperlink ref="N50" r:id="rId99" xr:uid="{9686B7A5-2B10-4DD3-AF5E-40A5A1C97F73}"/>
    <hyperlink ref="N63" r:id="rId100" xr:uid="{BBB4B796-FD3F-4D0A-912B-EA52D4FCBA81}"/>
    <hyperlink ref="N101" r:id="rId101" xr:uid="{22A6ECCA-97CD-4658-A24E-4622CFC6B842}"/>
    <hyperlink ref="N137" r:id="rId102" xr:uid="{0D6CBC97-E608-4018-86D2-00C581F39FF3}"/>
    <hyperlink ref="N177" r:id="rId103" xr:uid="{6A749077-B8CE-44FF-A6E9-44796E484AA8}"/>
    <hyperlink ref="O140" r:id="rId104" xr:uid="{DC8ABBE7-C7E0-46DE-9AE3-BB5BC48A16BC}"/>
    <hyperlink ref="N78" r:id="rId105" xr:uid="{0B2D0066-3D18-4F2C-9E4A-17DE76EFDFA8}"/>
    <hyperlink ref="N43" r:id="rId106" xr:uid="{1C7568D7-DA55-4426-9CC1-03926EEC7002}"/>
    <hyperlink ref="N184" r:id="rId107" xr:uid="{45244F74-F8C3-443B-84FB-57B0EF63C866}"/>
    <hyperlink ref="N24" r:id="rId108" xr:uid="{5BA784EB-E6F6-4C07-9570-C85B884A467B}"/>
    <hyperlink ref="N159" r:id="rId109" xr:uid="{C2414F6A-F82F-4236-A4A4-24F95F447699}"/>
    <hyperlink ref="N37" r:id="rId110" xr:uid="{18FC6D8C-B084-4685-A3D8-D65E3BAE69E8}"/>
    <hyperlink ref="N110" r:id="rId111" xr:uid="{FDBAA0E9-8E93-44E2-88C1-106243D7AEC0}"/>
    <hyperlink ref="N154" r:id="rId112" xr:uid="{08D8D081-F2A8-46B4-B1FB-6D0E2719EAD9}"/>
    <hyperlink ref="O190" r:id="rId113" xr:uid="{83DD8FE5-70C7-42B3-8D9A-4CD326F43698}"/>
    <hyperlink ref="N152" r:id="rId114" xr:uid="{C36954CF-6C93-4E7B-B15A-C87B26DFAFB1}"/>
    <hyperlink ref="J48" r:id="rId115" xr:uid="{73F42C9A-1043-41D9-B751-DDDD35207AED}"/>
    <hyperlink ref="J19" r:id="rId116" xr:uid="{D16BFD8A-A45F-4483-B210-D99515FDBA9A}"/>
    <hyperlink ref="J25" r:id="rId117" xr:uid="{532D481E-97A4-4B85-BB3F-0BF464F7975C}"/>
    <hyperlink ref="J7" r:id="rId118" display="Phinneas" xr:uid="{8F29304B-BC9D-4129-BE4C-E96698B211FD}"/>
    <hyperlink ref="J41" r:id="rId119" xr:uid="{4F78D2E7-1FCB-413E-923A-7546329F366C}"/>
    <hyperlink ref="J31" r:id="rId120" display="Skonaman" xr:uid="{037DF1B7-A685-4FB9-8540-82C121EA4D65}"/>
    <hyperlink ref="J51" r:id="rId121" xr:uid="{53765E56-4475-404D-8886-B1952E01F7D3}"/>
    <hyperlink ref="J140" r:id="rId122" xr:uid="{10BE8472-F83F-47C9-A75F-23C96297EF53}"/>
    <hyperlink ref="J82" r:id="rId123" xr:uid="{9735F802-F74F-4EB7-8825-078D3AFEF725}"/>
    <hyperlink ref="J66" r:id="rId124" xr:uid="{7BB559F1-23BB-43A9-BE35-386DA9340227}"/>
    <hyperlink ref="J56" r:id="rId125" xr:uid="{934F567A-BD3B-4CD3-82B2-0AEF4AAF7013}"/>
    <hyperlink ref="J18" r:id="rId126" xr:uid="{14D98359-3674-40BA-9365-D954D15FA405}"/>
    <hyperlink ref="J42" r:id="rId127" display="Averell" xr:uid="{30019745-D849-4DBB-AC86-FBEF321C6AFA}"/>
    <hyperlink ref="J23" r:id="rId128" xr:uid="{FA9D1582-28FF-4D3C-96CE-981C6541477A}"/>
    <hyperlink ref="J64" r:id="rId129" xr:uid="{0372B7D5-B7AB-4773-82EE-815A3F3B3C2C}"/>
    <hyperlink ref="J33" r:id="rId130" xr:uid="{3BCE1E75-526F-4029-8BD3-3A9680029896}"/>
    <hyperlink ref="J61" r:id="rId131" xr:uid="{9FBD159D-D2B6-431B-B5C1-1814B3BCC4E4}"/>
    <hyperlink ref="J93" r:id="rId132" xr:uid="{33989E64-F17D-4EE1-A1E0-E00B87CA7289}"/>
    <hyperlink ref="J121" r:id="rId133" display="Fulesmacko" xr:uid="{2782C8E9-3176-4175-ACE8-573AAA20F4B2}"/>
    <hyperlink ref="J97" r:id="rId134" display="Klic" xr:uid="{6C5C707B-47EC-40EB-89C2-2D27422661DB}"/>
    <hyperlink ref="J125" r:id="rId135" xr:uid="{0C2ED1FC-217E-445B-A9D1-76A9540E7265}"/>
    <hyperlink ref="J77" r:id="rId136" display="Mors" xr:uid="{BE21A5DA-DFA3-4998-B6D7-AFBE4AACC200}"/>
    <hyperlink ref="J114" r:id="rId137" xr:uid="{6303510D-7C78-44BD-AAB2-796559829BE9}"/>
    <hyperlink ref="J71" r:id="rId138" display="Riwa" xr:uid="{DE5AD3C7-97C2-4AE7-AAA3-16F1FD09948A}"/>
    <hyperlink ref="J36" r:id="rId139" xr:uid="{4B22734F-644F-4C4C-A5EE-E60D0A2DEF6C}"/>
    <hyperlink ref="J102" r:id="rId140" xr:uid="{04284D24-DF05-4334-B35D-E25F3AB0290E}"/>
    <hyperlink ref="J75" r:id="rId141" xr:uid="{F112F87B-5E50-46F5-B3CA-43C8D524C445}"/>
    <hyperlink ref="J122" r:id="rId142" xr:uid="{07946DA5-D70D-455F-98B8-5F7A57820806}"/>
    <hyperlink ref="J80" r:id="rId143" display="Sun" xr:uid="{F0AEFB5E-F381-472B-B573-D9328D7B6C5B}"/>
    <hyperlink ref="J128" r:id="rId144" xr:uid="{D33FCE27-6875-41AC-A088-7AF3DD9F975B}"/>
    <hyperlink ref="J177" r:id="rId145" xr:uid="{1C281B93-D372-4B48-A730-A69A58545BE7}"/>
    <hyperlink ref="J191" r:id="rId146" xr:uid="{3ACC4D22-871F-4582-B0C9-7E1051827233}"/>
    <hyperlink ref="N88" r:id="rId147" xr:uid="{76054640-E41D-42E7-B35B-F7FC11E66AE5}"/>
    <hyperlink ref="J88" r:id="rId148" xr:uid="{0E8353FC-01B9-4AD8-89D1-76E118109530}"/>
    <hyperlink ref="J65" r:id="rId149" display="Coolsuit" xr:uid="{B40765B1-1B4C-466E-9F94-DE7549C49FFF}"/>
    <hyperlink ref="N65" r:id="rId150" xr:uid="{BC2AC88C-5FD7-4406-9563-3C793A30E61E}"/>
    <hyperlink ref="N186" r:id="rId151" xr:uid="{4F74D10F-AB57-4AAB-88A7-4796AE803E76}"/>
    <hyperlink ref="J180" r:id="rId152" xr:uid="{2FE7B314-3078-4D94-A32F-A3280472D83D}"/>
    <hyperlink ref="N180" r:id="rId153" xr:uid="{829E1876-0875-48BC-95A0-DFE45A4BBD95}"/>
    <hyperlink ref="J143" r:id="rId154" xr:uid="{E2116231-2AF6-48C6-A1DF-94820B1E3BE3}"/>
    <hyperlink ref="J115" r:id="rId155" xr:uid="{0A2B4246-47C9-4A05-92AF-B9C323E819C5}"/>
    <hyperlink ref="N115" r:id="rId156" xr:uid="{BDFF1823-FB49-4961-BE29-D1CBB798609D}"/>
    <hyperlink ref="J186" r:id="rId157" xr:uid="{33A96AE0-996E-4739-969E-3A43F85FB619}"/>
    <hyperlink ref="N143" r:id="rId158" xr:uid="{8F839491-7916-40BC-9E2A-F9C053540492}"/>
    <hyperlink ref="J89" r:id="rId159" xr:uid="{7BA6BCB0-5ABA-4642-8DC6-41C3AE6CDE6A}"/>
    <hyperlink ref="N22" r:id="rId160" xr:uid="{19A75396-6247-4FF4-904E-62C49DB5505D}"/>
    <hyperlink ref="N46" r:id="rId161" xr:uid="{70CF25C5-2B67-4218-AFC7-87E664C66E03}"/>
    <hyperlink ref="N136" r:id="rId162" xr:uid="{4223EF85-B350-428E-A491-A03157AF087A}"/>
    <hyperlink ref="K136" r:id="rId163" display="37328" xr:uid="{9A63B961-534B-4413-8504-2E39B7058199}"/>
    <hyperlink ref="J136" r:id="rId164" xr:uid="{8B6CAB80-3B4D-475F-9E65-BE791694AF3F}"/>
    <hyperlink ref="K2" r:id="rId165" display="http://www.dailygammon.com/bg/user/8719" xr:uid="{2EDE1E9C-6DC4-4492-8B0F-52A25357B25F}"/>
    <hyperlink ref="J185" r:id="rId166" xr:uid="{C23B236B-9DE3-4068-AB69-774D1D6ABBF8}"/>
    <hyperlink ref="N185" r:id="rId167" xr:uid="{5BA08702-815B-49BC-9841-9D1518A73365}"/>
    <hyperlink ref="N89" r:id="rId168" xr:uid="{8F009493-3B66-441D-B4E1-5CDBFC438B63}"/>
    <hyperlink ref="K139" r:id="rId169" display="http://dailygammon.com/bg/user/32831" xr:uid="{D67E4F0D-EFB5-4336-A333-82B8405424C4}"/>
    <hyperlink ref="N139" r:id="rId170" xr:uid="{FCAA29E0-BD98-4833-95E8-B920CBD1EDD6}"/>
    <hyperlink ref="J139" r:id="rId171" xr:uid="{3A66C2E5-F8EC-449E-883E-0C087D7CD8AF}"/>
    <hyperlink ref="N2" r:id="rId172" xr:uid="{4A606515-D430-4050-8480-9B75EEF63B97}"/>
    <hyperlink ref="K123" r:id="rId173" display="http://www.dailygammon.com/bg/user/30835" xr:uid="{74EECFCC-C6BE-4628-AF15-AD1904F53B4C}"/>
    <hyperlink ref="J123" r:id="rId174" xr:uid="{18F507AD-79F2-4B7B-BF55-5D364822B902}"/>
    <hyperlink ref="N123" r:id="rId175" xr:uid="{2AC45B71-5384-4187-9447-AA951802C9AF}"/>
    <hyperlink ref="K164" r:id="rId176" display="http://www.dailygammon.com/bg/user/33175" xr:uid="{FEF06B80-6B02-4F7B-9D9E-687A124EB205}"/>
    <hyperlink ref="J164" r:id="rId177" xr:uid="{AC034CDA-0B96-4B86-805C-8DF00FEF5F07}"/>
    <hyperlink ref="N164" r:id="rId178" xr:uid="{0DC3528D-6F80-444B-B8AD-A53318EDF776}"/>
    <hyperlink ref="N23" r:id="rId179" xr:uid="{828BD353-B232-4887-B0A2-1398B9C0602C}"/>
    <hyperlink ref="J187" r:id="rId180" xr:uid="{6A436D34-A975-4284-A949-9F3A004B2130}"/>
    <hyperlink ref="K187" r:id="rId181" display="http://www.dailygammon.com/bg/user/18771" xr:uid="{22727419-2145-4905-A64D-C762EFD1DFEA}"/>
    <hyperlink ref="J79" r:id="rId182" display="Prado" xr:uid="{D8160AE3-14A9-4B34-B26A-E82FCF6F0356}"/>
    <hyperlink ref="K79" r:id="rId183" display="4692" xr:uid="{ED871DA9-ADDB-4A98-A38A-D1A045F38111}"/>
    <hyperlink ref="J161" r:id="rId184" xr:uid="{8BD155C4-0451-44CC-92CC-A9319B0870DC}"/>
    <hyperlink ref="K161" r:id="rId185" display="31065" xr:uid="{E0D3ABA6-8707-4066-A34F-3B7AAB59C918}"/>
    <hyperlink ref="J15" r:id="rId186" display="buckerooni" xr:uid="{910F1E56-2496-42D8-85F8-B4270C8DFDF4}"/>
    <hyperlink ref="K15" r:id="rId187" display="http://www.dailygammon.com/bg/user/35052" xr:uid="{8481F5D1-F5AA-4C5C-852C-3547CBC76788}"/>
    <hyperlink ref="J13" r:id="rId188" xr:uid="{AEF4A5F8-95BE-4C49-993C-EB6A04B3E220}"/>
    <hyperlink ref="K13" r:id="rId189" display="33827" xr:uid="{6EF7EE3B-F0B3-4806-9DD7-71C9CD21AECE}"/>
    <hyperlink ref="N13" r:id="rId190" xr:uid="{238CDB43-FD7A-40B3-B9B3-B4FC901AAE97}"/>
    <hyperlink ref="N187" r:id="rId191" xr:uid="{4EFD5C80-0CCD-456E-9E18-67944AEFB34A}"/>
    <hyperlink ref="N79" r:id="rId192" xr:uid="{81FC67C3-40C5-4442-9E31-127ADE2F682B}"/>
    <hyperlink ref="K33" r:id="rId193" display="http://www.dailygammon.com/bg/user/20617" xr:uid="{2CE83A1B-229F-4BFE-BBEE-73C6BD77CDB5}"/>
    <hyperlink ref="K41" r:id="rId194" display="http://www.dailygammon.com/bg/user/19182%5e" xr:uid="{B602B5DA-408A-456B-8A95-A4CBD926434C}"/>
    <hyperlink ref="K71" r:id="rId195" display="http://www.dailygammon.com/bg/user/28181" xr:uid="{BD8BECA4-1AFE-4255-ABF1-8E88F8E55EA9}"/>
    <hyperlink ref="K65" r:id="rId196" display="http://www.dailygammon.com/bg/user/21950" xr:uid="{80FB0240-0BAE-4AF0-9C56-10617ABECF74}"/>
    <hyperlink ref="K56" r:id="rId197" display="http://www.dailygammon.com/bg/user/18993" xr:uid="{0894C987-D4AA-4F98-841A-3B3D846C9796}"/>
    <hyperlink ref="K23" r:id="rId198" display="http://www.dailygammon.com/bg/user/32477" xr:uid="{C5E85F73-E12A-4038-A178-EEB7460E7FBE}"/>
    <hyperlink ref="K74" r:id="rId199" display="http://www.dailygammon.com/bg/user/28804" xr:uid="{99A340D8-FD02-4BB2-A870-E8CF1F0EC41C}"/>
    <hyperlink ref="K180" r:id="rId200" display="http://www.dailygammon.com/bg/user/31552" xr:uid="{A2F26C46-FC1D-463D-AE54-4D50B314C451}"/>
    <hyperlink ref="K61" r:id="rId201" display="http://www.dailygammon.com/bg/user/21648" xr:uid="{AE6E3CA5-A023-4DAD-8BC3-1876408BA0ED}"/>
    <hyperlink ref="K93" r:id="rId202" display="http://www.dailygammon.com/bg/user/22415" xr:uid="{C6B2BD89-3799-46A0-AD92-342F89D36562}"/>
    <hyperlink ref="K121" r:id="rId203" display="http://www.dailygammon.com/bg/user/21796" xr:uid="{4F2CF097-2846-4477-9F7E-729320654292}"/>
    <hyperlink ref="K97" r:id="rId204" display="http://www.dailygammon.com/bg/user/8743" xr:uid="{431F049D-7E1E-45D2-97C3-E60668863853}"/>
    <hyperlink ref="K125" r:id="rId205" display="http://www.dailygammon.com/bg/user/24353" xr:uid="{B77AF700-D01A-40CA-B31C-DEFD108DCBB8}"/>
    <hyperlink ref="K77" r:id="rId206" display="http://www.dailygammon.com/bg/user/3678" xr:uid="{B4EF243C-A74F-4377-AB34-FEEC4CDCBB7C}"/>
    <hyperlink ref="K114" r:id="rId207" display="http://www.dailygammon.com/bg/user/32125" xr:uid="{7680059A-D071-46A4-B29A-E502FD0F3290}"/>
    <hyperlink ref="K191" r:id="rId208" display="http://www.dailygammon.com/bg/user/26178" xr:uid="{DF2968B7-CB23-4088-8189-0329F8F073B7}"/>
    <hyperlink ref="K75" r:id="rId209" display="http://www.dailygammon.com/bg/user/12166" xr:uid="{ADA86D08-E467-4A95-968A-07F945E29AF7}"/>
    <hyperlink ref="K80" r:id="rId210" display="http://www.dailygammon.com/bg/user/7768" xr:uid="{3CB6ABDF-4298-47FD-A0D8-7CED0E021347}"/>
    <hyperlink ref="J173" r:id="rId211" xr:uid="{7209152F-C127-41C0-ADF2-A3A1A03C17A5}"/>
    <hyperlink ref="K173" r:id="rId212" display="21584" xr:uid="{BA849FA8-3047-45F9-BCB5-8B26317499AD}"/>
    <hyperlink ref="J108" r:id="rId213" xr:uid="{19F115A2-E661-4650-9CC7-FF18403C2F59}"/>
    <hyperlink ref="K108" r:id="rId214" display="36118" xr:uid="{4C128ADC-76B2-40C9-B1BE-F3DE60B3F64B}"/>
    <hyperlink ref="N108" r:id="rId215" xr:uid="{87B46ACC-4162-4163-8719-05F6A5FA0128}"/>
    <hyperlink ref="K185" r:id="rId216" display="37422" xr:uid="{7A29848F-294D-4D1D-AAEF-0854401FC8A0}"/>
    <hyperlink ref="N15" r:id="rId217" xr:uid="{B9390D66-BF0E-40A5-9FDA-3F89D9299FE3}"/>
    <hyperlink ref="N27" r:id="rId218" xr:uid="{EE78D957-FA31-471A-A2C3-3FB5CA6BAFF4}"/>
    <hyperlink ref="J27" r:id="rId219" xr:uid="{532547DD-DB48-40B5-933D-A793B7E37511}"/>
    <hyperlink ref="K27" r:id="rId220" display="16338" xr:uid="{2F8E0118-CB8A-4C16-96A4-51A23D01D8B1}"/>
    <hyperlink ref="S27" r:id="rId221" xr:uid="{74297D99-9048-4A2F-B97F-780B89BEECD8}"/>
    <hyperlink ref="N193" r:id="rId222" xr:uid="{608E95BC-5344-4219-8F49-5568DC7B4C39}"/>
    <hyperlink ref="J193" r:id="rId223" xr:uid="{36E6C3C8-47E3-4081-8CBB-1F531F2516DF}"/>
    <hyperlink ref="K193" r:id="rId224" display="23706" xr:uid="{56386D5D-9EC3-4EBB-8BA7-6CA57C1EBF9D}"/>
    <hyperlink ref="J148" r:id="rId225" xr:uid="{2D83AE8C-660C-4B0B-A6F1-AFB2935900AA}"/>
    <hyperlink ref="K148" r:id="rId226" display="22385" xr:uid="{4C699901-3830-439D-9165-70FFC04C0184}"/>
    <hyperlink ref="N173" r:id="rId227" xr:uid="{38CE3C1D-03D8-4531-9F38-476FC26C674A}"/>
    <hyperlink ref="J21" r:id="rId228" xr:uid="{F5E258CA-66B1-4F28-850D-CCAAE4817E0E}"/>
    <hyperlink ref="K21" r:id="rId229" display="28712" xr:uid="{260B354F-617B-4074-AAD8-A4DF8B1CD5E1}"/>
    <hyperlink ref="N21" r:id="rId230" xr:uid="{C7301C4C-7903-45AD-91B2-97E96250A872}"/>
    <hyperlink ref="N148" r:id="rId231" xr:uid="{8B94DFDA-2CB5-42DF-838F-7009E19D877B}"/>
    <hyperlink ref="J20" r:id="rId232" xr:uid="{E34568E5-1240-4F66-BCC2-292E36645F8B}"/>
    <hyperlink ref="K20" r:id="rId233" display="22511" xr:uid="{8C644E4B-BAC6-4D9D-892C-C272E68C49AE}"/>
    <hyperlink ref="N20" r:id="rId234" xr:uid="{0E0376FF-3FAB-4C39-BCD7-BD4071293C6A}"/>
    <hyperlink ref="J17" r:id="rId235" xr:uid="{E38D8586-CA00-477B-A6AB-A1386FD64193}"/>
    <hyperlink ref="K17" r:id="rId236" display="32423" xr:uid="{47A98071-0FD4-40E8-A787-F3A0DD2D84DC}"/>
    <hyperlink ref="N17" r:id="rId237" xr:uid="{1D4ECFAD-F4A6-46CC-982B-3D2D1D9231B5}"/>
    <hyperlink ref="N178" r:id="rId238" xr:uid="{79DA196B-A2C9-4A3C-BD76-0166D9FCB19B}"/>
    <hyperlink ref="J178" r:id="rId239" xr:uid="{7B65C2D4-14C8-4A5A-8F50-170F94DDDA5B}"/>
    <hyperlink ref="K178" r:id="rId240" display="5192" xr:uid="{F203CFB9-70AB-41BE-9CC9-EDF374767902}"/>
    <hyperlink ref="J169" r:id="rId241" xr:uid="{9FFFB0A2-B9FE-4EF2-873A-36D3193CBFAB}"/>
    <hyperlink ref="K169" r:id="rId242" display="24149" xr:uid="{638F9035-0C7A-4AD4-B642-19F1F5A622FC}"/>
    <hyperlink ref="N169" r:id="rId243" xr:uid="{4ABA1AAD-B6D0-49E2-8616-4F907944F860}"/>
    <hyperlink ref="O139" r:id="rId244" xr:uid="{98E0BF67-EE03-4FFA-92BD-19AE6511B8CC}"/>
    <hyperlink ref="J90" r:id="rId245" xr:uid="{1C16FC03-D2A3-45D9-8941-024D2916D870}"/>
    <hyperlink ref="K90" r:id="rId246" display="33394" xr:uid="{FBD28A45-523D-4832-9107-9230AEDFDE02}"/>
    <hyperlink ref="J176" r:id="rId247" xr:uid="{96F600B9-A02E-43CD-A02A-7BBAF6AB9FD1}"/>
    <hyperlink ref="K176" r:id="rId248" display="21067" xr:uid="{0DE4CE0B-9911-4F5F-808A-583204EE5FA3}"/>
    <hyperlink ref="J175" r:id="rId249" xr:uid="{C29E177E-46FD-466A-AA6A-A18F1AF23572}"/>
    <hyperlink ref="K175" r:id="rId250" display="10812" xr:uid="{E890B6FF-3CC2-438C-94A6-5F58C708BEA4}"/>
    <hyperlink ref="J105" r:id="rId251" xr:uid="{94CF59C2-7A2A-4CF5-8853-305E9804FC6B}"/>
    <hyperlink ref="K105" r:id="rId252" display="37706" xr:uid="{C367309E-BC53-4716-A478-14323B8E57E5}"/>
    <hyperlink ref="J188" r:id="rId253" xr:uid="{AF1C5E9C-6B11-479D-BE0A-CBD40EDB96B2}"/>
    <hyperlink ref="K188" r:id="rId254" display="296" xr:uid="{DFF3B11D-18A6-4630-89DC-910BDD3FB499}"/>
    <hyperlink ref="J103" r:id="rId255" xr:uid="{493E03C2-9E8A-4783-A653-DA9FB1B6630C}"/>
    <hyperlink ref="K103" r:id="rId256" display="2543" xr:uid="{520E60EC-7999-463F-8A7A-586ED16661E0}"/>
    <hyperlink ref="J86" r:id="rId257" xr:uid="{294702B2-4A15-4F33-B8CF-76183CA30361}"/>
    <hyperlink ref="K86" r:id="rId258" display="21200" xr:uid="{382C004C-2761-4B65-A24B-53E31E09A17A}"/>
    <hyperlink ref="K94" r:id="rId259" display="11977" xr:uid="{7F97899D-101D-4EB2-9B67-3B668CBFBD8B}"/>
    <hyperlink ref="N149" r:id="rId260" xr:uid="{F3FD6C01-708A-41B6-AC1B-FB0DCCF982D6}"/>
    <hyperlink ref="J168" r:id="rId261" xr:uid="{A1731245-ECAB-44A1-A258-CDC2C3447C6C}"/>
    <hyperlink ref="K168" r:id="rId262" display="10304" xr:uid="{7FB987F6-7E9A-454D-9C76-D7D1A31B7535}"/>
    <hyperlink ref="J149" r:id="rId263" xr:uid="{74E1F8A8-E123-4436-9A07-12448B21123D}"/>
    <hyperlink ref="K149" r:id="rId264" display="3387" xr:uid="{35E1511A-2823-4EB0-B74F-68F5E7A119BB}"/>
    <hyperlink ref="J183" r:id="rId265" xr:uid="{4C8BF802-7F60-48F1-A801-A03A6042ED45}"/>
    <hyperlink ref="K183" r:id="rId266" display="22072" xr:uid="{BFB23386-8C3B-4119-ABEE-7867E24EA3FD}"/>
    <hyperlink ref="J192" r:id="rId267" xr:uid="{122256F5-C820-4B41-A4B7-3D895F39842E}"/>
    <hyperlink ref="K192" r:id="rId268" display="16036" xr:uid="{6D9F81BA-5AF7-4BF6-83BF-E6872BB22333}"/>
    <hyperlink ref="J6" r:id="rId269" xr:uid="{85D7EE86-81DF-4725-855B-9429157B68AE}"/>
    <hyperlink ref="K6" r:id="rId270" display="33060" xr:uid="{988201BD-2402-4994-ABAB-3488C2C41BD3}"/>
    <hyperlink ref="N6" r:id="rId271" xr:uid="{5E615884-A389-4542-9E7F-AA72ED511604}"/>
    <hyperlink ref="N176" r:id="rId272" xr:uid="{6ADB31FC-67AC-4407-8712-3949A2082758}"/>
    <hyperlink ref="N175" r:id="rId273" xr:uid="{81133778-633E-41E3-BCF8-0E6A2960F7CE}"/>
    <hyperlink ref="N94" r:id="rId274" xr:uid="{8526E9B8-4E21-4ED5-9D5A-EDB90ABFB310}"/>
    <hyperlink ref="N168" r:id="rId275" xr:uid="{B680D05F-9814-4C11-8675-5DA88B93819C}"/>
    <hyperlink ref="J28" r:id="rId276" xr:uid="{4E599739-F56B-4447-BC55-CCE9B9117920}"/>
    <hyperlink ref="K28" r:id="rId277" display="http://www.dailygammon.com/bg/user/37183" xr:uid="{E2591719-4DF4-4E6D-82D8-AEA70639C823}"/>
    <hyperlink ref="N28" r:id="rId278" xr:uid="{4D4C5A2C-970B-4A67-AC26-F1F505264B67}"/>
    <hyperlink ref="J99" r:id="rId279" xr:uid="{5922F7BE-49E0-4036-A777-8DCAC3C470A8}"/>
    <hyperlink ref="K99" r:id="rId280" display="23659" xr:uid="{FE6596A0-78E5-437A-BEC1-76E71CA6F96F}"/>
    <hyperlink ref="N99" r:id="rId281" xr:uid="{8BDC7EFD-2B36-44FB-85AD-65EAC6D65F61}"/>
    <hyperlink ref="N25" r:id="rId282" xr:uid="{40615C65-70D7-46FA-9B10-0341EAAC5992}"/>
    <hyperlink ref="N33" r:id="rId283" xr:uid="{60C33101-1E26-4AEF-8165-54271052950C}"/>
    <hyperlink ref="N121" r:id="rId284" xr:uid="{C475FD2F-33A1-4135-8D74-1542A674EAE0}"/>
    <hyperlink ref="N74" r:id="rId285" xr:uid="{D7F6A1C9-ED78-44A0-AE36-351EBFB723C8}"/>
    <hyperlink ref="N64" r:id="rId286" xr:uid="{CFA40D84-FD63-4D38-8FDD-3DACC62568A6}"/>
    <hyperlink ref="K25" r:id="rId287" display="http://www.dailygammon.com/bg/user/31952" xr:uid="{A64C6679-2179-44DD-865B-2B29E2625115}"/>
    <hyperlink ref="K48" r:id="rId288" display="http://www.dailygammon.com/bg/user/6508" xr:uid="{DDEE1D8C-6BEC-4C58-9096-05D79C4434C9}"/>
    <hyperlink ref="K19" r:id="rId289" display="http://www.dailygammon.com/bg/user/22451" xr:uid="{264FEA4E-FAC6-44FC-84F3-91B8786546A7}"/>
    <hyperlink ref="K31" r:id="rId290" display="http://www.dailygammon.com/bg/user/28783" xr:uid="{EADB7F1C-700A-4282-A76B-EAD7664EE4EC}"/>
    <hyperlink ref="K82" r:id="rId291" display="http://www.dailygammon.com/bg/user/32667" xr:uid="{45C15FC4-30F2-4DB4-9CB9-48F5F0769E37}"/>
    <hyperlink ref="K36" r:id="rId292" display="http://www.dailygammon.com/bg/user/22550" xr:uid="{81A9CE81-B26E-4A83-BCB0-CE1A0DA16EC2}"/>
    <hyperlink ref="K115" r:id="rId293" display="http://www.dailygammon.com/bg/user/14990" xr:uid="{AA739CC8-4621-4DE7-AEB9-74564F2A4B45}"/>
    <hyperlink ref="K7" r:id="rId294" display="http://www.dailygammon.com/bg/user/21605" xr:uid="{E243F66A-641B-4C91-A366-FD3F3E71FE9F}"/>
    <hyperlink ref="K186" r:id="rId295" display="http://www.dailygammon.com/bg/user/33328" xr:uid="{62F6616F-3D7B-4296-820C-2AEF073AD42F}"/>
    <hyperlink ref="K42" r:id="rId296" display="http://www.dailygammon.com/bg/user/4701" xr:uid="{ED64C21B-9369-4725-90F4-83D91FD64CCA}"/>
    <hyperlink ref="K66" r:id="rId297" display="http://www.dailygammon.com/bg/user/29269" xr:uid="{70B98936-5DF4-4F66-91B0-AB425763B1C4}"/>
    <hyperlink ref="K18" r:id="rId298" display="http://www.dailygammon.com/bg/user/25013" xr:uid="{F6DB478A-5B7C-4B3A-9769-9F3EB8186BD3}"/>
    <hyperlink ref="K102" r:id="rId299" display="http://www.dailygammon.com/bg/user/33114" xr:uid="{45B822C4-ACCB-4E40-87D8-FB17EAD583FC}"/>
    <hyperlink ref="K51" r:id="rId300" display="http://www.dailygammon.com/bg/user/18866" xr:uid="{0B710FAF-03D2-4ACE-88B0-B62B010B8C0F}"/>
    <hyperlink ref="N114" r:id="rId301" xr:uid="{EE4BBEA1-F26A-42C7-AE23-BCB43B5B8347}"/>
    <hyperlink ref="N18" r:id="rId302" xr:uid="{C09CE4C2-60DF-4CEA-9991-3EF311A1056D}"/>
    <hyperlink ref="N102" r:id="rId303" xr:uid="{53DF8112-B1C6-4593-8BF5-F1FBCF48F157}"/>
    <hyperlink ref="N97" r:id="rId304" xr:uid="{1E558EB4-C662-446D-AD2F-1D8C6E222AF0}"/>
    <hyperlink ref="N51" r:id="rId305" xr:uid="{4A6743CF-F6EF-43A4-81B8-5BECFEBAB60B}"/>
    <hyperlink ref="N130" r:id="rId306" xr:uid="{C7E0D7A0-18F3-493C-9C3F-32B1E86C5970}"/>
    <hyperlink ref="N3" r:id="rId307" xr:uid="{B21C5209-F1D7-4F12-A17A-490FE0B931D2}"/>
    <hyperlink ref="O100" r:id="rId308" xr:uid="{28BDC00D-45EF-41FE-9A37-D0FF1EC729F1}"/>
    <hyperlink ref="N131" r:id="rId309" xr:uid="{19C45FC3-E21C-428F-B257-3B1A150C56AE}"/>
    <hyperlink ref="N31" r:id="rId310" xr:uid="{418A20A6-4940-43F9-8497-F4B4FFAF302A}"/>
    <hyperlink ref="N82" r:id="rId311" xr:uid="{2E62CE7E-5050-4C5E-8256-C97A33C8DA44}"/>
    <hyperlink ref="N141" r:id="rId312" xr:uid="{693DD82B-28A4-4120-95F2-2963A1287193}"/>
    <hyperlink ref="N34" r:id="rId313" xr:uid="{E37BB862-AB7A-4791-87B6-9F086FF2E6DD}"/>
    <hyperlink ref="N96" r:id="rId314" xr:uid="{1F19F3AB-CA23-4EF7-9272-9F272F5F7F92}"/>
    <hyperlink ref="N7" r:id="rId315" xr:uid="{8A32C0A4-9E24-4F3A-99AC-41B971087148}"/>
    <hyperlink ref="N93" r:id="rId316" xr:uid="{6C64480D-F176-4195-A03C-7A22F682EB90}"/>
    <hyperlink ref="N69" r:id="rId317" xr:uid="{7608A1F3-C512-4F9F-A228-2A029D012FAA}"/>
    <hyperlink ref="N39" r:id="rId318" xr:uid="{480D6B8B-14FD-4AD6-9CC8-4C2717470554}"/>
    <hyperlink ref="N71" r:id="rId319" xr:uid="{0C9B442C-BCCD-4780-8B00-FFE29F2442A2}"/>
    <hyperlink ref="N84" r:id="rId320" xr:uid="{4CE70950-6CAF-4F02-8386-F3374E5536D2}"/>
    <hyperlink ref="N8" r:id="rId321" xr:uid="{D47D9742-36A4-413A-A41B-5AD6E54915AE}"/>
    <hyperlink ref="N41" r:id="rId322" xr:uid="{3C6C0EB9-7CE0-49E7-B4F2-F5B7FAC958BA}"/>
    <hyperlink ref="N61" r:id="rId323" xr:uid="{3B29CF00-DBA4-49C6-B002-5E50279D53E8}"/>
    <hyperlink ref="N42" r:id="rId324" xr:uid="{414DE584-9510-49DD-901D-E0830422E935}"/>
    <hyperlink ref="N66" r:id="rId325" xr:uid="{7D46BB5C-C097-4E16-A613-097DD918D02A}"/>
    <hyperlink ref="N56" r:id="rId326" xr:uid="{D0EE08DD-7547-4E3F-A1D3-BC58593D1095}"/>
    <hyperlink ref="N75" r:id="rId327" xr:uid="{7F20CD88-B2ED-46CD-9112-BC8BBBC85930}"/>
    <hyperlink ref="N128" r:id="rId328" xr:uid="{0057F425-1FA5-4F36-A711-5445CBA168BB}"/>
    <hyperlink ref="N86" r:id="rId329" xr:uid="{1B6B4E49-EFBE-49FC-9AD2-F70625F05E21}"/>
    <hyperlink ref="N122" r:id="rId330" xr:uid="{713CD46B-7588-4025-B9DD-0988E6EE4BE1}"/>
    <hyperlink ref="N105" r:id="rId331" xr:uid="{57325EDD-8B03-495D-B210-2FB5E9C2DD12}"/>
    <hyperlink ref="N103" r:id="rId332" xr:uid="{BE5347FF-E838-471B-AA75-3BA0BD6440AA}"/>
    <hyperlink ref="N125" r:id="rId333" xr:uid="{6BE1C99E-A6D9-4EE5-89F6-CF06D60412E5}"/>
    <hyperlink ref="O77" r:id="rId334" xr:uid="{99D667CC-5EC0-419C-A5F6-368CF11E5C68}"/>
    <hyperlink ref="N90" r:id="rId335" xr:uid="{8E2CC5E4-AE2B-49F4-AD0F-EF7011DFC35B}"/>
    <hyperlink ref="K143" r:id="rId336" display="http://www.dailygammon.com/bg/user/17801" xr:uid="{96FC0898-5BE4-46D6-B43C-F00CFAA95F8D}"/>
    <hyperlink ref="K128" r:id="rId337" display="http://www.dailygammon.com/bg/user/30903" xr:uid="{442DB4D6-ED1A-4CFA-BA34-7CF8DEAA7922}"/>
    <hyperlink ref="K122" r:id="rId338" display="http://www.dailygammon.com/bg/user/25188" xr:uid="{4BF2905F-9606-46AF-9DB3-C2BB0E86853B}"/>
    <hyperlink ref="K177" r:id="rId339" display="http://www.dailygammon.com/bg/user/6856" xr:uid="{62ABA901-986C-450C-AAAA-332E4B1B132D}"/>
    <hyperlink ref="K64" r:id="rId340" display="http://www.dailygammon.com/bg/user/24760" xr:uid="{1A573E81-BB64-4F5C-AA0F-49B1875870D8}"/>
    <hyperlink ref="K88" r:id="rId341" display="http://www.dailygammon.com/bg/user/29852" xr:uid="{C70FF230-9BCE-427A-B53E-14F0FDCF495C}"/>
    <hyperlink ref="K153" r:id="rId342" display="http://dailygammon.com/bg/user/38417" xr:uid="{F9FEE39C-6F0B-4ABE-96F5-E7180D1CDDE7}"/>
    <hyperlink ref="N153" r:id="rId343" xr:uid="{BDDF763B-7277-4798-951B-38D55A0A32D7}"/>
    <hyperlink ref="J153" r:id="rId344" xr:uid="{93566444-A65C-4532-819C-0F929DDA58E3}"/>
    <hyperlink ref="J156" r:id="rId345" xr:uid="{E1712EC4-8F58-49EE-A8C1-052AED15B757}"/>
    <hyperlink ref="K156" r:id="rId346" display="23763" xr:uid="{763B50A8-C539-424B-8DE7-0810E26A9970}"/>
    <hyperlink ref="N156" r:id="rId347" xr:uid="{1BBFB93A-75B7-408C-933E-5DFCAD7C0021}"/>
    <hyperlink ref="J171" r:id="rId348" xr:uid="{1CB85132-15E9-4780-825E-B973A396690A}"/>
    <hyperlink ref="K171" r:id="rId349" display="22269" xr:uid="{F3A0D007-1F74-4548-B382-C381D02597F5}"/>
    <hyperlink ref="J158" r:id="rId350" xr:uid="{1E39DD85-668D-46F6-BFF3-A6817862963A}"/>
    <hyperlink ref="K158" r:id="rId351" display="30175" xr:uid="{EBAAF8CA-A0D6-4608-977F-69D62BFD5157}"/>
    <hyperlink ref="N158" r:id="rId352" xr:uid="{E7BBE3BE-57EE-484C-9F9D-389018E449A6}"/>
    <hyperlink ref="J189" r:id="rId353" xr:uid="{EFC392D2-8EA2-4AA6-BEF9-A0E39D9EB08D}"/>
    <hyperlink ref="K189" r:id="rId354" display="1106" xr:uid="{66F2F320-1265-4CD0-ADD8-9EE575384A2C}"/>
    <hyperlink ref="J155" r:id="rId355" xr:uid="{6716B479-BBD0-4161-83DA-A8596BBCC1C1}"/>
    <hyperlink ref="K155" r:id="rId356" display="15331" xr:uid="{C1C77BBB-9C70-4A73-BC57-5D9DAD9C7D50}"/>
    <hyperlink ref="J98" r:id="rId357" xr:uid="{01512E0D-F83A-4024-9A3C-27869C907670}"/>
    <hyperlink ref="K98" r:id="rId358" display="http://www.dailygammon.com/bg/user/2685" xr:uid="{5F3B037D-E39E-4C51-9D42-5A53E62E614C}"/>
    <hyperlink ref="N98" r:id="rId359" xr:uid="{FFB8E8F2-918F-4268-BF1E-A6E7B8545831}"/>
    <hyperlink ref="J52" r:id="rId360" xr:uid="{DE43D50B-C3A6-476D-AD1D-69357C6B03BB}"/>
    <hyperlink ref="K52" r:id="rId361" display="http://www.dailygammon.com/bg/user/21821" xr:uid="{21D59915-2972-4A58-A433-092B32BFF26E}"/>
    <hyperlink ref="N52" r:id="rId362" xr:uid="{A800449C-D06F-4212-AD94-1D28C1ED32A9}"/>
    <hyperlink ref="J5" r:id="rId363" xr:uid="{AB31CFED-514C-430A-A977-E481BE94091D}"/>
    <hyperlink ref="K5" r:id="rId364" display="http://www.dailygammon.com/bg/user/33344" xr:uid="{F03ED9F0-4524-4B7C-8878-8EBC434B0311}"/>
    <hyperlink ref="N5" r:id="rId365" xr:uid="{04524AF0-A2EA-488B-9DC3-A3EDF286F3E7}"/>
    <hyperlink ref="J165" r:id="rId366" xr:uid="{3FB3C409-1F6A-4332-AA1E-BE0BAD0107A9}"/>
    <hyperlink ref="K165" r:id="rId367" display="15774" xr:uid="{73B33EF9-7A04-49FB-B3F7-6AB970C86381}"/>
    <hyperlink ref="N165" r:id="rId368" xr:uid="{21867D3E-9E7F-469C-AD11-5CA0BC25760B}"/>
    <hyperlink ref="J29" r:id="rId369" xr:uid="{08D4E70C-3842-4B53-9A38-915D324B4856}"/>
    <hyperlink ref="K29" r:id="rId370" display="8801" xr:uid="{C0FE84C6-7B77-42A8-B4E7-915E830F1544}"/>
    <hyperlink ref="N29" r:id="rId371" xr:uid="{B0462D2D-354C-4B8B-BB76-209EB599CAE0}"/>
    <hyperlink ref="K11" r:id="rId372" display="http://www.dailygammon.com/bg/user/38369" xr:uid="{96DD9AFC-89AE-44A0-B27A-332A3DEFE0B5}"/>
    <hyperlink ref="J145" r:id="rId373" xr:uid="{2DA3C002-6DB2-4915-9FE4-A0EB63C2B79A}"/>
    <hyperlink ref="K145" r:id="rId374" display="36594" xr:uid="{78E0D543-B030-46E9-A7F3-E606E42C24C4}"/>
    <hyperlink ref="N145" r:id="rId375" xr:uid="{5FA8DF3A-8ABA-4182-A23D-1EFAF82134B8}"/>
    <hyperlink ref="J11" r:id="rId376" xr:uid="{2C2049FC-0B08-49F6-A51E-C3EAF5A8A248}"/>
    <hyperlink ref="N11" r:id="rId377" xr:uid="{4B685DBC-FEC0-462B-B5D7-33F88DAFC6D6}"/>
    <hyperlink ref="N157" r:id="rId378" xr:uid="{F17BEA72-7EA3-4709-A849-D0FB09EEE234}"/>
    <hyperlink ref="J157" r:id="rId379" xr:uid="{8DFD67E5-0598-4E0A-8406-FE8DD023077B}"/>
    <hyperlink ref="K157" r:id="rId380" display="16354" xr:uid="{4553FF91-0D63-4CA0-B5FF-667BBC021918}"/>
    <hyperlink ref="J179" r:id="rId381" xr:uid="{B46F9B77-BAC8-498E-A5EF-544A2DAEAD7F}"/>
    <hyperlink ref="K179" r:id="rId382" display="38806" xr:uid="{F388C6A2-EF5C-4E80-8C9F-CACC58BD1ABA}"/>
    <hyperlink ref="N179" r:id="rId383" xr:uid="{9F822CC5-DC3F-4242-BE31-BDDA4082F0DE}"/>
    <hyperlink ref="N174" r:id="rId384" xr:uid="{FD6268D5-A196-46C5-9EEC-E113CE480A14}"/>
    <hyperlink ref="J174" r:id="rId385" xr:uid="{1022C772-D20B-45EE-AE14-E13555677335}"/>
    <hyperlink ref="K174" r:id="rId386" display="38828" xr:uid="{0CD89569-3827-44E2-8B25-E8D144277510}"/>
    <hyperlink ref="AA12" r:id="rId387" xr:uid="{FB1944A6-3F4A-404B-9B44-0E632F081E2D}"/>
    <hyperlink ref="AA4:AA189" r:id="rId388" display="Login at Dailygammon" xr:uid="{6994BC99-1560-401B-8AB2-589FC4C02EA8}"/>
    <hyperlink ref="AA55" r:id="rId389" xr:uid="{2248EB81-8197-4F20-9EF2-F6E780697306}"/>
    <hyperlink ref="J55" r:id="rId390" xr:uid="{5A0AF216-5E35-4D13-AEDC-D74E0ADFC952}"/>
    <hyperlink ref="K55" r:id="rId391" display="7477" xr:uid="{CA1DAB07-9199-46E8-988A-859302CB2897}"/>
    <hyperlink ref="N55" r:id="rId392" xr:uid="{9680BEAC-387F-4F79-B120-88AC2F75D2B9}"/>
    <hyperlink ref="AA166" r:id="rId393" xr:uid="{6CCFB241-2E24-4E6A-8D50-C37F367DA7EA}"/>
    <hyperlink ref="J166" r:id="rId394" xr:uid="{CD652645-2449-44A8-B3D0-3EFEDE69DCA5}"/>
    <hyperlink ref="K166" r:id="rId395" display="39043" xr:uid="{66B195D6-BF46-4348-9DD2-A9704864001F}"/>
    <hyperlink ref="AA144" r:id="rId396" xr:uid="{A52FF0D0-47EF-4926-9CFE-0AFB32C4369B}"/>
    <hyperlink ref="J144" r:id="rId397" xr:uid="{20A3CAF0-6623-449C-924E-5EB48DD200F1}"/>
    <hyperlink ref="K144" r:id="rId398" display="19078" xr:uid="{5A968EAF-C671-4CB3-BCA4-253742D2E78E}"/>
    <hyperlink ref="N166" r:id="rId399" xr:uid="{50EA85B5-A0B4-4265-9918-3D4C1D591057}"/>
    <hyperlink ref="J2" r:id="rId400" xr:uid="{EE3C159E-749F-4C66-9E3A-28CBA309138D}"/>
    <hyperlink ref="J74" r:id="rId401" xr:uid="{47CAB3CC-D9FD-4F32-904B-BBFDE9BCD762}"/>
    <hyperlink ref="AA126" r:id="rId402" xr:uid="{01306942-731A-4617-A1CB-D8E8C4314D16}"/>
    <hyperlink ref="AA142" r:id="rId403" xr:uid="{032C026B-A0B2-4E45-ABFD-76BFC70637E4}"/>
    <hyperlink ref="J142" r:id="rId404" xr:uid="{DDC5B76B-5436-4FC9-9C55-C9C5056E7E44}"/>
    <hyperlink ref="K142" r:id="rId405" display="http://dailygammon.com/bg/user/34182" xr:uid="{71990958-093A-413A-9A43-A3B4EBCA8653}"/>
    <hyperlink ref="N142" r:id="rId406" xr:uid="{368217EC-5AB8-44F9-81B5-20071F437CFB}"/>
    <hyperlink ref="AA70" r:id="rId407" xr:uid="{FD9E1500-54D8-466C-A2DD-4BCD98B615A0}"/>
    <hyperlink ref="J70" r:id="rId408" xr:uid="{3340D072-57BA-4A94-8DAA-4C39F31725A2}"/>
    <hyperlink ref="K70" r:id="rId409" display="http://www.dailygammon.com/bg/user/2115" xr:uid="{364E54EE-D815-49A4-BB20-BC53725B95DD}"/>
    <hyperlink ref="K152" r:id="rId410" display="http://www.dailygammon.com/bg/user/26933" xr:uid="{C525A306-F252-4389-9C40-CB396C0CA543}"/>
    <hyperlink ref="AA14" r:id="rId411" xr:uid="{25899096-D3A9-40B4-B5E0-6ACDA672035D}"/>
    <hyperlink ref="J14" r:id="rId412" xr:uid="{FE4CCA78-9920-4EEA-B93C-B63956E429DD}"/>
    <hyperlink ref="K14" r:id="rId413" display="http://www.dailygammon.com/bg/user/39451" xr:uid="{6E1DB55C-CAA2-4BD1-BC78-EBFDFCD14D03}"/>
    <hyperlink ref="N14" r:id="rId414" xr:uid="{E10777BB-5BF9-4781-A66F-F78F30C73A83}"/>
    <hyperlink ref="O116" r:id="rId415" xr:uid="{2A86F09F-0D56-45E6-AC0B-3E72035439F6}"/>
    <hyperlink ref="O177" r:id="rId416" xr:uid="{4E926CFA-28E4-43A9-B58D-8244DBFB19BF}"/>
    <hyperlink ref="AA59" r:id="rId417" xr:uid="{3B00D42D-7F7A-47CC-82B9-6BB823691FE4}"/>
    <hyperlink ref="J59" r:id="rId418" xr:uid="{8D81B26D-F7B6-403A-8974-7EBB226EB2D0}"/>
    <hyperlink ref="K59" r:id="rId419" display="http://www.dailygammon.com/bg/user/19359" xr:uid="{57CEFF36-E141-4CC4-9AB6-EBD2699D442E}"/>
    <hyperlink ref="N59" r:id="rId420" xr:uid="{034B43D8-F3B7-42E9-AE18-F3DD5A907411}"/>
    <hyperlink ref="J47" r:id="rId421" xr:uid="{4E4376D8-9F60-4831-B7D6-5105BFD8E78E}"/>
    <hyperlink ref="AA47" r:id="rId422" xr:uid="{03C26DAB-9978-4E2C-9C84-9015100E7F52}"/>
    <hyperlink ref="K47" r:id="rId423" display="http://www.dailygammon.com/bg/user/30367" xr:uid="{3630D335-46A2-44DB-B1F1-129621C64C02}"/>
    <hyperlink ref="N47" r:id="rId424" xr:uid="{97A435AA-4B47-4C0A-ACB9-DD708351264E}"/>
    <hyperlink ref="K129" r:id="rId425" display="http://www.dailygammon.com/bg/user/21572" xr:uid="{BE8597D7-B986-49CA-A8B7-F4A7047163C8}"/>
    <hyperlink ref="N129" r:id="rId426" xr:uid="{8E39A99D-A6BC-48DC-A229-B15A49216E97}"/>
    <hyperlink ref="AA129" r:id="rId427" xr:uid="{23A9341F-E933-4BCF-A5B1-BB7FAD75471F}"/>
    <hyperlink ref="AA81" r:id="rId428" xr:uid="{43085205-BA23-4A50-AAFC-CECE5C9FF941}"/>
    <hyperlink ref="N81" r:id="rId429" xr:uid="{20E7AFB9-DEC9-40FD-9426-9DC568C1849E}"/>
    <hyperlink ref="K81" r:id="rId430" display="1236" xr:uid="{12C14D15-7C51-4708-97F8-7AFADAD5E40C}"/>
    <hyperlink ref="J81" r:id="rId431" xr:uid="{404DEE3E-EB24-4A3B-8152-C516FBE30F9B}"/>
    <hyperlink ref="N135" r:id="rId432" xr:uid="{FB558B81-8CC1-48A1-A1C7-8DBB1D65E874}"/>
    <hyperlink ref="K135" r:id="rId433" display="40111" xr:uid="{6FF672E3-B652-48C5-A6BF-9247C6EDD9C7}"/>
    <hyperlink ref="J135" r:id="rId434" xr:uid="{F8C951F2-8ED0-460B-B7CC-7B4F67BF8814}"/>
    <hyperlink ref="AA57" r:id="rId435" xr:uid="{3F3BC6D2-FF41-4DF2-A87D-5E27C7E43E67}"/>
    <hyperlink ref="K57" r:id="rId436" display="http://www.dailygammon.com/bg/user/1" xr:uid="{D9C4340F-3840-4C3A-8EE2-5E9F90F7C31C}"/>
    <hyperlink ref="J57" r:id="rId437" xr:uid="{D5809642-7069-4FD6-BFBA-CC2C1DA3DE05}"/>
    <hyperlink ref="AA112" r:id="rId438" xr:uid="{1A6E5E3C-9F44-4792-9C1C-DECAF7F901AC}"/>
    <hyperlink ref="N57" r:id="rId439" xr:uid="{5DDABF96-ADA1-4B76-916B-832D7468791D}"/>
    <hyperlink ref="AA45" r:id="rId440" xr:uid="{F81CEF37-E646-467B-B775-EE97D191F787}"/>
    <hyperlink ref="K45" r:id="rId441" display="http://www.dailygammon.com/bg/user/40029" xr:uid="{D9DD5EA5-4CF3-4251-A01D-3D2C53166C23}"/>
    <hyperlink ref="J45" r:id="rId442" xr:uid="{C75DB417-8836-4E19-A5AF-16AC2CE2B3A9}"/>
    <hyperlink ref="N45" r:id="rId443" xr:uid="{8C3402BF-EA6D-41EA-8FC2-990C53C21E23}"/>
    <hyperlink ref="K112" r:id="rId444" display="http://www.dailygammon.com/bg/user/39676" xr:uid="{FC6D0160-A371-4F8B-ADC4-E64FDB020430}"/>
    <hyperlink ref="AA170" r:id="rId445" xr:uid="{CC5EBE01-40F7-46F6-901E-724A8769BE5A}"/>
    <hyperlink ref="J170" r:id="rId446" xr:uid="{2E8F56A0-8F46-4E24-83D6-E96D7666C15C}"/>
    <hyperlink ref="K170" r:id="rId447" display="29498" xr:uid="{6CD76DDE-1CCA-4CBF-9F3D-8511421A5893}"/>
    <hyperlink ref="K126" r:id="rId448" display="http://www.dailygammon.com/bg/user/39590" xr:uid="{D6EE0A28-4BE9-4793-885D-C325FBF18E05}"/>
    <hyperlink ref="J126" r:id="rId449" display="http://www.dailygammon.com/bg/user/39590" xr:uid="{60EA15FF-D89B-4E7B-B33A-9C11DCEFC200}"/>
    <hyperlink ref="N126" r:id="rId450" xr:uid="{BD20DE20-8466-41E2-8958-50D342F40402}"/>
    <hyperlink ref="AA119" r:id="rId451" xr:uid="{C67A15EC-E71F-48FA-B5C9-13D50D55F7FE}"/>
    <hyperlink ref="K119" r:id="rId452" display="40365" xr:uid="{CC60E7B3-B87A-4342-9324-A1572B45F59A}"/>
    <hyperlink ref="J119" r:id="rId453" display="40365" xr:uid="{59E1E03D-6ABF-4D81-852A-22FA466D90DB}"/>
    <hyperlink ref="N119" r:id="rId454" xr:uid="{057898B4-37F7-4A02-BA69-1B211C811ADB}"/>
    <hyperlink ref="N170" r:id="rId455" xr:uid="{E838B984-3AB7-449F-BED7-195AE23FD297}"/>
    <hyperlink ref="AA104" r:id="rId456" xr:uid="{2611195A-9067-48DA-9C1A-2EE8E900BA29}"/>
    <hyperlink ref="K104" r:id="rId457" display="http://www.dailygammon.com/bg/user/12220" xr:uid="{EF6A2DC6-AEE9-4A21-A0F4-31DC1B8855DE}"/>
    <hyperlink ref="J104" r:id="rId458" xr:uid="{EC0D0368-9E4D-4118-AE0A-1BCDCF1C37EB}"/>
    <hyperlink ref="N112" r:id="rId459" xr:uid="{EDAB488E-A890-4A41-A083-F7089D8A6B9B}"/>
    <hyperlink ref="AA10" r:id="rId460" xr:uid="{BB122291-8A6A-436F-9CBB-0562D8BF80C9}"/>
    <hyperlink ref="K10" r:id="rId461" display="http://www.dailygammon.com/bg/user/4872" xr:uid="{F0B2DE03-C45E-410E-878C-5F10E9E77C77}"/>
    <hyperlink ref="J10" r:id="rId462" display="jebediasmie" xr:uid="{1505615A-B488-41C9-A4F3-BA51729033C9}"/>
    <hyperlink ref="N10" r:id="rId463" xr:uid="{108961E1-60C1-489B-A74A-E0DD3E231D19}"/>
    <hyperlink ref="AA146" r:id="rId464" xr:uid="{EB5D8234-165F-44B9-AF9A-BE45E3BE5B36}"/>
    <hyperlink ref="K146" r:id="rId465" display="http://www.dailygammon.com/bg/user/313" xr:uid="{2DA5D618-2C4B-40A0-88C8-4D116997E66A}"/>
    <hyperlink ref="J146" r:id="rId466" display="Willie Wonka" xr:uid="{8080A709-74F4-43B0-917A-F5195B061F9C}"/>
    <hyperlink ref="N146" r:id="rId467" xr:uid="{9840B88B-B185-44E6-8325-B48D53FAE514}"/>
    <hyperlink ref="N100" r:id="rId468" xr:uid="{D6424986-B1B8-4C90-ADBB-1355A154C9DC}"/>
    <hyperlink ref="AA73" r:id="rId469" xr:uid="{BCD32C5C-133C-4FBE-A3B0-4770071186FB}"/>
    <hyperlink ref="K73" r:id="rId470" display="http://www.dailygammon.com/bg/user/40804" xr:uid="{8DE35E90-C0B7-4A73-B227-0AFC8A93EE10}"/>
    <hyperlink ref="J73" r:id="rId471" xr:uid="{B583A27A-A34B-4852-9AFE-3E7E09D65246}"/>
    <hyperlink ref="N73" r:id="rId472" xr:uid="{CD1D9A40-8052-4A9F-9939-0683346F0A17}"/>
    <hyperlink ref="AA127" r:id="rId473" xr:uid="{67438382-129D-4174-8CE8-3FA51928AFF2}"/>
    <hyperlink ref="K127" r:id="rId474" display="http://www.dailygammon.com/bg/user/40722" xr:uid="{231883C8-1710-4542-BCCB-2BB80FAC9AF4}"/>
    <hyperlink ref="AA151" r:id="rId475" xr:uid="{EAC013BD-0B17-40F0-BB67-CD92C92557D6}"/>
    <hyperlink ref="K151" r:id="rId476" display="http://www.dailygammon.com/bg/user/17507" xr:uid="{A6C9D7BE-121A-426B-9A4B-10D519226231}"/>
    <hyperlink ref="J151" r:id="rId477" xr:uid="{2CA5EC41-F169-42C4-9D7B-11CD59A62DB9}"/>
    <hyperlink ref="N151" r:id="rId478" xr:uid="{68B83E24-E7A6-4E30-A889-3C99A2F79176}"/>
    <hyperlink ref="AA147" r:id="rId479" xr:uid="{DF19B65A-7C30-4DFE-8D1D-1DA4DF7DD44C}"/>
    <hyperlink ref="K147" r:id="rId480" display="http://www.dailygammon.com/bg/user/28142" xr:uid="{48D87589-409F-4B4C-ADCE-8DB3028A3EE6}"/>
    <hyperlink ref="J147" r:id="rId481" xr:uid="{4D3B40D9-AFC0-4AE7-8F5B-9A53CC1449FD}"/>
    <hyperlink ref="N147" r:id="rId482" xr:uid="{EB065A7B-3638-4C19-9F69-AB6E571A39BE}"/>
    <hyperlink ref="J129" r:id="rId483" display="Andy1975" xr:uid="{E50A8D93-384E-4C02-9635-CE897BFFBECF}"/>
    <hyperlink ref="AA85" r:id="rId484" xr:uid="{2F6ED57D-105D-453E-B87F-65138EEBD890}"/>
    <hyperlink ref="K85" r:id="rId485" display="http://www.dailygammon.com/bg/user/13175" xr:uid="{23296E3C-C863-4807-9726-D5AD8AEB9F19}"/>
    <hyperlink ref="J85" r:id="rId486" xr:uid="{AD21EFD9-25A3-455A-A54D-DAAD34D274B7}"/>
    <hyperlink ref="N85" r:id="rId487" xr:uid="{24DA23C3-0608-4624-958E-8894F5087D7C}"/>
    <hyperlink ref="AA9" r:id="rId488" xr:uid="{C0C35394-53D8-4F3D-8AB6-79703996EC47}"/>
    <hyperlink ref="K9" r:id="rId489" display="http://www.dailygammon.com/bg/user/18758" xr:uid="{01C2CE00-702C-4F36-A026-A15F72D0E3B9}"/>
    <hyperlink ref="J9" r:id="rId490" xr:uid="{AD86A397-04D4-4E36-B568-BF1974D470F6}"/>
    <hyperlink ref="N9" r:id="rId491" xr:uid="{290C5ADE-1BF8-4F79-8C90-6AB0C2B7D073}"/>
    <hyperlink ref="K89" r:id="rId492" display="http://www.dailygammon.com/bg/user/37219" xr:uid="{396255D5-AC45-4D32-9441-578B94BD3784}"/>
    <hyperlink ref="O6" r:id="rId493" xr:uid="{8BF11494-D855-497F-BD46-134ADE6A2840}"/>
    <hyperlink ref="AA72" r:id="rId494" xr:uid="{D16CA6BE-88A7-48EA-AF91-F9ED0C74DCA0}"/>
    <hyperlink ref="K72" r:id="rId495" display="http://www.dailygammon.com/bg/user/36610" xr:uid="{1F3C812B-A4CA-4E8C-BC4F-58093A370482}"/>
    <hyperlink ref="J72" r:id="rId496" xr:uid="{51A4D506-DEA3-479C-B625-2BBB2F4948D1}"/>
    <hyperlink ref="N72" r:id="rId497" xr:uid="{EA9397BD-3327-470E-9479-839B95C2C9FE}"/>
    <hyperlink ref="O112" r:id="rId498" xr:uid="{BA23512D-83EB-45B7-9960-664B395A721A}"/>
    <hyperlink ref="J112" r:id="rId499" display="http://www.dailygammon.com/bg/user/39676" xr:uid="{5F408968-2DD4-4A83-A54C-6F988CF8472D}"/>
    <hyperlink ref="J94" r:id="rId500" display="Hoodie" xr:uid="{5734CDDE-ED37-4AFE-BEE3-A1C1BB83053F}"/>
    <hyperlink ref="AA134" r:id="rId501" xr:uid="{82DC54A0-D15E-43DE-A082-183D409F6054}"/>
    <hyperlink ref="K134" r:id="rId502" display="http://www.dailygammon.com/bg/user/41076" xr:uid="{27D2BF2C-BDBA-4CD3-8822-48E1AC411CF0}"/>
    <hyperlink ref="J134" r:id="rId503" xr:uid="{C438BBB2-0E90-4337-9D3F-0CF610352505}"/>
    <hyperlink ref="N134" r:id="rId504" xr:uid="{A96E4296-7384-45D9-AF84-1D2C3BDBC3AD}"/>
    <hyperlink ref="J127" r:id="rId505" display="WolfE1963" xr:uid="{E57D6A78-C463-4026-9006-73132EA0A428}"/>
    <hyperlink ref="N127" r:id="rId506" xr:uid="{CD2AF0F3-CA2E-4F94-81BB-73FA78506148}"/>
    <hyperlink ref="N77" r:id="rId507" xr:uid="{7B82C265-51B5-42F4-8C03-8CF4C396B034}"/>
    <hyperlink ref="AA162" r:id="rId508" xr:uid="{20F1A957-9A57-40C8-8882-D0AF2C21FFC4}"/>
    <hyperlink ref="AA83" r:id="rId509" xr:uid="{FE777DC0-29D5-4297-8874-FC1119E2D2B3}"/>
    <hyperlink ref="K83" r:id="rId510" display="http://www.dailygammon.com/bg/user/225" xr:uid="{26403332-9714-4EAC-BF73-A1B1E65B1EDD}"/>
    <hyperlink ref="J83" r:id="rId511" xr:uid="{E25E433B-8351-46C0-BB15-A3A7C8741417}"/>
    <hyperlink ref="AA87" r:id="rId512" xr:uid="{F0AC697F-9D95-48C8-B1B3-F97E2E079A72}"/>
    <hyperlink ref="N87" r:id="rId513" xr:uid="{2DF18155-57D8-40ED-ACD9-BAA4625E274F}"/>
    <hyperlink ref="K87" r:id="rId514" display="41626" xr:uid="{FF55CE61-32C7-41AE-B2FA-A23F32E9A964}"/>
    <hyperlink ref="J87" r:id="rId515" xr:uid="{142EAF1E-C9A7-4C17-BF59-26DBDE716E6F}"/>
    <hyperlink ref="N83" r:id="rId516" xr:uid="{A8CFE359-F817-4698-916E-BC5EBAF313C5}"/>
    <hyperlink ref="AA60" r:id="rId517" xr:uid="{0F06F2E4-B545-4AD4-A592-8BD46360EAE6}"/>
    <hyperlink ref="K60" r:id="rId518" display="http://www.dailygammon.com/bg/user/21083" xr:uid="{B4A7E4DB-E110-4DB8-AEFB-4EAA6C6E7A9C}"/>
    <hyperlink ref="J60" r:id="rId519" xr:uid="{F205CBCC-72AE-436B-872B-0692E5AD1F76}"/>
    <hyperlink ref="N60" r:id="rId520" xr:uid="{0BE12025-832D-4DD2-8366-E5504BD2A8C8}"/>
    <hyperlink ref="AA124" r:id="rId521" xr:uid="{BBDBC14A-AB8C-4EDB-AD19-E101F2F3B5FD}"/>
    <hyperlink ref="K124" r:id="rId522" display="http://www.dailygammon.com/bg/user/23180" xr:uid="{6DDDEA07-3751-436B-A9D2-4247BA5D35FD}"/>
    <hyperlink ref="J124" r:id="rId523" xr:uid="{C2A8F48F-2B36-4C9E-9C54-235ABD7B4306}"/>
    <hyperlink ref="K162" r:id="rId524" display="http://dailygammon.com/bg/user/36756" xr:uid="{7E482C76-EECA-4772-831F-DE91752ACC67}"/>
    <hyperlink ref="J162" r:id="rId525" xr:uid="{C9D10F1E-98E6-4391-B42A-898A4E67BA19}"/>
    <hyperlink ref="AA38" r:id="rId526" xr:uid="{11D0CD5B-8F87-48A9-87E4-AFCDC9D66AC1}"/>
    <hyperlink ref="K38" r:id="rId527" display="435" xr:uid="{D48DAF87-3001-44BA-8F1C-971D186BAA35}"/>
    <hyperlink ref="J38" r:id="rId528" xr:uid="{4DD7F133-0534-4504-8220-6B863CF70D1C}"/>
    <hyperlink ref="N38" r:id="rId529" xr:uid="{5A67BED9-7F5C-4A5A-A814-E04A38DDF746}"/>
    <hyperlink ref="N162" r:id="rId530" xr:uid="{C6C013A5-6A32-41C3-89F7-298D8A0E5EFD}"/>
    <hyperlink ref="AA107" r:id="rId531" xr:uid="{28CCF3BF-3025-4665-9230-40D32E7D9D08}"/>
    <hyperlink ref="K107" r:id="rId532" display="41606" xr:uid="{F9E0A447-F59E-4171-9471-C5BDE83670BA}"/>
    <hyperlink ref="J107" r:id="rId533" xr:uid="{EBE51E6D-71C9-4208-A21D-EB147E9901A6}"/>
    <hyperlink ref="N107" r:id="rId534" xr:uid="{C1780A06-C5D5-4F22-9359-88FF4185A30D}"/>
    <hyperlink ref="AA95" r:id="rId535" xr:uid="{343F9A64-B27A-41BD-8A68-3BE31DF20EE8}"/>
    <hyperlink ref="K95" r:id="rId536" display="40044" xr:uid="{63D8D528-E1ED-4213-AA36-70F1E60A9264}"/>
    <hyperlink ref="J95" r:id="rId537" xr:uid="{A96D7E4C-235D-4F21-806D-319933DA58AB}"/>
    <hyperlink ref="N95" r:id="rId538" xr:uid="{C437EAF6-B741-4DC0-B442-E15110A5ED80}"/>
    <hyperlink ref="N104" r:id="rId539" xr:uid="{1146EDB7-3547-4F1D-BD56-7C1F3AD35D35}"/>
    <hyperlink ref="AA109" r:id="rId540" xr:uid="{A628958E-5520-4C53-AD30-1ED8881299E1}"/>
    <hyperlink ref="K109" r:id="rId541" display="http://www.dailygammon.com/bg/user/24748" xr:uid="{38547E3A-8CEB-4EDA-B6A9-42EFEC6458FF}"/>
    <hyperlink ref="J109" r:id="rId542" display="OLLI CCYHI" xr:uid="{6CE51A78-75A9-461E-B70B-71A99A653FE1}"/>
    <hyperlink ref="N109" r:id="rId543" xr:uid="{E6647F54-C519-4D9C-BF02-7574E8FF03B4}"/>
    <hyperlink ref="AA106" r:id="rId544" xr:uid="{13597152-ECC2-4964-A02A-8690A9EE8A4C}"/>
    <hyperlink ref="K106" r:id="rId545" display="http://dailygammon.com/bg/user/42202" xr:uid="{F85A5A08-895B-483D-B088-B7024F47B884}"/>
    <hyperlink ref="J106" r:id="rId546" xr:uid="{01253324-44F0-4893-887D-D914895192FD}"/>
    <hyperlink ref="N106" r:id="rId547" display="mailto:paul.tvetenstrand@dentons.com" xr:uid="{396105F9-F64B-4DCD-93BD-EA71D427717D}"/>
    <hyperlink ref="AA118" r:id="rId548" xr:uid="{03CBDBB0-3175-4620-B326-7561B7B971DA}"/>
    <hyperlink ref="K118" r:id="rId549" display="http://www.dailygammon.com/bg/user/8077" xr:uid="{329AB4F3-247F-4CD5-86D0-1D52964A3602}"/>
    <hyperlink ref="J118" r:id="rId550" xr:uid="{9A094ADE-AC08-49C4-918F-955F8C15EBD3}"/>
    <hyperlink ref="N118" r:id="rId551" xr:uid="{45A4A95C-473B-463F-BA05-21B8946018D7}"/>
    <hyperlink ref="N124" r:id="rId552" xr:uid="{CCCDDC9C-DFDF-4D0A-8501-45B214690A7D}"/>
  </hyperlinks>
  <pageMargins left="0.7" right="0.7" top="0.78740157499999996" bottom="0.78740157499999996" header="0.3" footer="0.3"/>
  <pageSetup paperSize="9" orientation="portrait" r:id="rId55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EB22-DA72-4AEB-867E-B8297F1C5C42}">
  <dimension ref="A1:B131"/>
  <sheetViews>
    <sheetView workbookViewId="0">
      <selection activeCell="D12" sqref="D12"/>
    </sheetView>
  </sheetViews>
  <sheetFormatPr baseColWidth="10" defaultRowHeight="14.5" x14ac:dyDescent="0.35"/>
  <sheetData>
    <row r="1" spans="1:2" x14ac:dyDescent="0.35">
      <c r="A1" t="s">
        <v>1010</v>
      </c>
      <c r="B1" t="s">
        <v>1011</v>
      </c>
    </row>
    <row r="2" spans="1:2" x14ac:dyDescent="0.35">
      <c r="A2" t="s">
        <v>105</v>
      </c>
      <c r="B2" t="s">
        <v>735</v>
      </c>
    </row>
    <row r="3" spans="1:2" x14ac:dyDescent="0.35">
      <c r="A3" t="s">
        <v>513</v>
      </c>
      <c r="B3" t="s">
        <v>732</v>
      </c>
    </row>
    <row r="4" spans="1:2" x14ac:dyDescent="0.35">
      <c r="A4" t="s">
        <v>902</v>
      </c>
      <c r="B4" t="s">
        <v>490</v>
      </c>
    </row>
    <row r="5" spans="1:2" x14ac:dyDescent="0.35">
      <c r="A5" t="s">
        <v>952</v>
      </c>
      <c r="B5" t="s">
        <v>735</v>
      </c>
    </row>
    <row r="6" spans="1:2" x14ac:dyDescent="0.35">
      <c r="A6" t="s">
        <v>324</v>
      </c>
      <c r="B6" t="s">
        <v>736</v>
      </c>
    </row>
    <row r="7" spans="1:2" x14ac:dyDescent="0.35">
      <c r="A7" t="s">
        <v>309</v>
      </c>
      <c r="B7" t="s">
        <v>492</v>
      </c>
    </row>
    <row r="8" spans="1:2" x14ac:dyDescent="0.35">
      <c r="A8" t="s">
        <v>160</v>
      </c>
      <c r="B8" t="s">
        <v>489</v>
      </c>
    </row>
    <row r="9" spans="1:2" x14ac:dyDescent="0.35">
      <c r="A9" t="s">
        <v>932</v>
      </c>
      <c r="B9" t="s">
        <v>1012</v>
      </c>
    </row>
    <row r="10" spans="1:2" x14ac:dyDescent="0.35">
      <c r="A10" t="s">
        <v>37</v>
      </c>
      <c r="B10" t="s">
        <v>491</v>
      </c>
    </row>
    <row r="11" spans="1:2" x14ac:dyDescent="0.35">
      <c r="A11" t="s">
        <v>119</v>
      </c>
      <c r="B11" t="s">
        <v>284</v>
      </c>
    </row>
    <row r="12" spans="1:2" x14ac:dyDescent="0.35">
      <c r="A12" t="s">
        <v>254</v>
      </c>
      <c r="B12" t="s">
        <v>735</v>
      </c>
    </row>
    <row r="13" spans="1:2" x14ac:dyDescent="0.35">
      <c r="A13" t="s">
        <v>430</v>
      </c>
      <c r="B13" t="s">
        <v>283</v>
      </c>
    </row>
    <row r="14" spans="1:2" x14ac:dyDescent="0.35">
      <c r="A14" t="s">
        <v>450</v>
      </c>
      <c r="B14" t="s">
        <v>284</v>
      </c>
    </row>
    <row r="15" spans="1:2" x14ac:dyDescent="0.35">
      <c r="A15" t="s">
        <v>933</v>
      </c>
      <c r="B15" t="s">
        <v>733</v>
      </c>
    </row>
    <row r="16" spans="1:2" x14ac:dyDescent="0.35">
      <c r="A16" t="s">
        <v>872</v>
      </c>
      <c r="B16" t="s">
        <v>490</v>
      </c>
    </row>
    <row r="17" spans="1:2" x14ac:dyDescent="0.35">
      <c r="A17" t="s">
        <v>343</v>
      </c>
      <c r="B17" t="s">
        <v>489</v>
      </c>
    </row>
    <row r="18" spans="1:2" x14ac:dyDescent="0.35">
      <c r="A18" t="s">
        <v>338</v>
      </c>
      <c r="B18" t="s">
        <v>733</v>
      </c>
    </row>
    <row r="19" spans="1:2" x14ac:dyDescent="0.35">
      <c r="A19" t="s">
        <v>882</v>
      </c>
      <c r="B19" t="s">
        <v>735</v>
      </c>
    </row>
    <row r="20" spans="1:2" x14ac:dyDescent="0.35">
      <c r="A20" t="s">
        <v>781</v>
      </c>
      <c r="B20" t="s">
        <v>284</v>
      </c>
    </row>
    <row r="21" spans="1:2" x14ac:dyDescent="0.35">
      <c r="A21" t="s">
        <v>231</v>
      </c>
      <c r="B21" t="s">
        <v>1012</v>
      </c>
    </row>
    <row r="22" spans="1:2" x14ac:dyDescent="0.35">
      <c r="A22" t="s">
        <v>924</v>
      </c>
      <c r="B22" t="s">
        <v>284</v>
      </c>
    </row>
    <row r="23" spans="1:2" x14ac:dyDescent="0.35">
      <c r="A23" t="s">
        <v>313</v>
      </c>
      <c r="B23" t="s">
        <v>284</v>
      </c>
    </row>
    <row r="24" spans="1:2" x14ac:dyDescent="0.35">
      <c r="A24" t="s">
        <v>530</v>
      </c>
      <c r="B24" t="s">
        <v>735</v>
      </c>
    </row>
    <row r="25" spans="1:2" x14ac:dyDescent="0.35">
      <c r="A25" t="s">
        <v>1</v>
      </c>
      <c r="B25" t="s">
        <v>732</v>
      </c>
    </row>
    <row r="26" spans="1:2" x14ac:dyDescent="0.35">
      <c r="A26" t="s">
        <v>2</v>
      </c>
      <c r="B26" t="s">
        <v>489</v>
      </c>
    </row>
    <row r="27" spans="1:2" x14ac:dyDescent="0.35">
      <c r="A27" t="s">
        <v>948</v>
      </c>
      <c r="B27" t="s">
        <v>735</v>
      </c>
    </row>
    <row r="28" spans="1:2" x14ac:dyDescent="0.35">
      <c r="A28" t="s">
        <v>662</v>
      </c>
      <c r="B28" t="s">
        <v>734</v>
      </c>
    </row>
    <row r="29" spans="1:2" x14ac:dyDescent="0.35">
      <c r="A29" t="s">
        <v>928</v>
      </c>
      <c r="B29" t="s">
        <v>489</v>
      </c>
    </row>
    <row r="30" spans="1:2" x14ac:dyDescent="0.35">
      <c r="A30" t="s">
        <v>82</v>
      </c>
      <c r="B30" t="s">
        <v>494</v>
      </c>
    </row>
    <row r="31" spans="1:2" x14ac:dyDescent="0.35">
      <c r="A31" t="s">
        <v>391</v>
      </c>
      <c r="B31" t="s">
        <v>735</v>
      </c>
    </row>
    <row r="32" spans="1:2" x14ac:dyDescent="0.35">
      <c r="A32" t="s">
        <v>311</v>
      </c>
      <c r="B32" t="s">
        <v>734</v>
      </c>
    </row>
    <row r="33" spans="1:2" x14ac:dyDescent="0.35">
      <c r="A33" t="s">
        <v>56</v>
      </c>
      <c r="B33" t="s">
        <v>736</v>
      </c>
    </row>
    <row r="34" spans="1:2" x14ac:dyDescent="0.35">
      <c r="A34" t="s">
        <v>99</v>
      </c>
      <c r="B34" t="s">
        <v>489</v>
      </c>
    </row>
    <row r="35" spans="1:2" x14ac:dyDescent="0.35">
      <c r="A35" t="s">
        <v>203</v>
      </c>
      <c r="B35" t="s">
        <v>287</v>
      </c>
    </row>
    <row r="36" spans="1:2" x14ac:dyDescent="0.35">
      <c r="A36" t="s">
        <v>278</v>
      </c>
      <c r="B36" t="s">
        <v>732</v>
      </c>
    </row>
    <row r="37" spans="1:2" x14ac:dyDescent="0.35">
      <c r="A37" t="s">
        <v>156</v>
      </c>
      <c r="B37" t="s">
        <v>732</v>
      </c>
    </row>
    <row r="38" spans="1:2" x14ac:dyDescent="0.35">
      <c r="A38" t="s">
        <v>13</v>
      </c>
      <c r="B38" t="s">
        <v>733</v>
      </c>
    </row>
    <row r="39" spans="1:2" x14ac:dyDescent="0.35">
      <c r="A39" t="s">
        <v>7</v>
      </c>
      <c r="B39" t="s">
        <v>734</v>
      </c>
    </row>
    <row r="40" spans="1:2" x14ac:dyDescent="0.35">
      <c r="A40" t="s">
        <v>663</v>
      </c>
      <c r="B40" t="s">
        <v>490</v>
      </c>
    </row>
    <row r="41" spans="1:2" x14ac:dyDescent="0.35">
      <c r="A41" t="s">
        <v>416</v>
      </c>
      <c r="B41" t="s">
        <v>735</v>
      </c>
    </row>
    <row r="42" spans="1:2" x14ac:dyDescent="0.35">
      <c r="A42" t="s">
        <v>30</v>
      </c>
      <c r="B42" t="s">
        <v>490</v>
      </c>
    </row>
    <row r="43" spans="1:2" x14ac:dyDescent="0.35">
      <c r="A43" t="s">
        <v>211</v>
      </c>
      <c r="B43" t="s">
        <v>732</v>
      </c>
    </row>
    <row r="44" spans="1:2" x14ac:dyDescent="0.35">
      <c r="A44" t="s">
        <v>935</v>
      </c>
      <c r="B44" t="s">
        <v>494</v>
      </c>
    </row>
    <row r="45" spans="1:2" x14ac:dyDescent="0.35">
      <c r="A45" t="s">
        <v>16</v>
      </c>
      <c r="B45" t="s">
        <v>494</v>
      </c>
    </row>
    <row r="46" spans="1:2" x14ac:dyDescent="0.35">
      <c r="A46" t="s">
        <v>0</v>
      </c>
      <c r="B46" t="s">
        <v>287</v>
      </c>
    </row>
    <row r="47" spans="1:2" x14ac:dyDescent="0.35">
      <c r="A47" t="s">
        <v>503</v>
      </c>
      <c r="B47" t="s">
        <v>284</v>
      </c>
    </row>
    <row r="48" spans="1:2" x14ac:dyDescent="0.35">
      <c r="A48" t="s">
        <v>527</v>
      </c>
      <c r="B48" t="s">
        <v>491</v>
      </c>
    </row>
    <row r="49" spans="1:2" x14ac:dyDescent="0.35">
      <c r="A49" t="s">
        <v>433</v>
      </c>
      <c r="B49" t="s">
        <v>494</v>
      </c>
    </row>
    <row r="50" spans="1:2" x14ac:dyDescent="0.35">
      <c r="A50" t="s">
        <v>988</v>
      </c>
      <c r="B50" t="s">
        <v>491</v>
      </c>
    </row>
    <row r="51" spans="1:2" x14ac:dyDescent="0.35">
      <c r="A51" t="s">
        <v>829</v>
      </c>
      <c r="B51" t="s">
        <v>733</v>
      </c>
    </row>
    <row r="52" spans="1:2" x14ac:dyDescent="0.35">
      <c r="A52" t="s">
        <v>465</v>
      </c>
      <c r="B52" t="s">
        <v>732</v>
      </c>
    </row>
    <row r="53" spans="1:2" x14ac:dyDescent="0.35">
      <c r="A53" t="s">
        <v>625</v>
      </c>
      <c r="B53" t="s">
        <v>732</v>
      </c>
    </row>
    <row r="54" spans="1:2" x14ac:dyDescent="0.35">
      <c r="A54" t="s">
        <v>214</v>
      </c>
      <c r="B54" t="s">
        <v>489</v>
      </c>
    </row>
    <row r="55" spans="1:2" x14ac:dyDescent="0.35">
      <c r="A55" t="s">
        <v>265</v>
      </c>
      <c r="B55" t="s">
        <v>283</v>
      </c>
    </row>
    <row r="56" spans="1:2" x14ac:dyDescent="0.35">
      <c r="A56" t="s">
        <v>936</v>
      </c>
      <c r="B56" t="s">
        <v>489</v>
      </c>
    </row>
    <row r="57" spans="1:2" x14ac:dyDescent="0.35">
      <c r="A57" t="s">
        <v>763</v>
      </c>
      <c r="B57" t="s">
        <v>734</v>
      </c>
    </row>
    <row r="58" spans="1:2" x14ac:dyDescent="0.35">
      <c r="A58" t="s">
        <v>269</v>
      </c>
      <c r="B58" t="s">
        <v>287</v>
      </c>
    </row>
    <row r="59" spans="1:2" x14ac:dyDescent="0.35">
      <c r="A59" t="s">
        <v>194</v>
      </c>
      <c r="B59" t="s">
        <v>287</v>
      </c>
    </row>
    <row r="60" spans="1:2" x14ac:dyDescent="0.35">
      <c r="A60" t="s">
        <v>934</v>
      </c>
      <c r="B60" t="s">
        <v>736</v>
      </c>
    </row>
    <row r="61" spans="1:2" x14ac:dyDescent="0.35">
      <c r="A61" t="s">
        <v>841</v>
      </c>
      <c r="B61" t="s">
        <v>736</v>
      </c>
    </row>
    <row r="62" spans="1:2" x14ac:dyDescent="0.35">
      <c r="A62" t="s">
        <v>925</v>
      </c>
      <c r="B62" t="s">
        <v>733</v>
      </c>
    </row>
    <row r="63" spans="1:2" x14ac:dyDescent="0.35">
      <c r="A63" t="s">
        <v>930</v>
      </c>
      <c r="B63" t="s">
        <v>736</v>
      </c>
    </row>
    <row r="64" spans="1:2" x14ac:dyDescent="0.35">
      <c r="A64" t="s">
        <v>919</v>
      </c>
      <c r="B64" t="s">
        <v>492</v>
      </c>
    </row>
    <row r="65" spans="1:2" x14ac:dyDescent="0.35">
      <c r="A65" t="s">
        <v>536</v>
      </c>
      <c r="B65" t="s">
        <v>735</v>
      </c>
    </row>
    <row r="66" spans="1:2" x14ac:dyDescent="0.35">
      <c r="A66" t="s">
        <v>94</v>
      </c>
      <c r="B66" t="s">
        <v>734</v>
      </c>
    </row>
    <row r="67" spans="1:2" x14ac:dyDescent="0.35">
      <c r="A67" t="s">
        <v>189</v>
      </c>
      <c r="B67" t="s">
        <v>283</v>
      </c>
    </row>
    <row r="68" spans="1:2" x14ac:dyDescent="0.35">
      <c r="A68" t="s">
        <v>833</v>
      </c>
      <c r="B68" t="s">
        <v>734</v>
      </c>
    </row>
    <row r="69" spans="1:2" x14ac:dyDescent="0.35">
      <c r="A69" t="s">
        <v>248</v>
      </c>
      <c r="B69" t="s">
        <v>1012</v>
      </c>
    </row>
    <row r="70" spans="1:2" x14ac:dyDescent="0.35">
      <c r="A70" t="s">
        <v>207</v>
      </c>
      <c r="B70" t="s">
        <v>287</v>
      </c>
    </row>
    <row r="71" spans="1:2" x14ac:dyDescent="0.35">
      <c r="A71" t="s">
        <v>922</v>
      </c>
      <c r="B71" t="s">
        <v>736</v>
      </c>
    </row>
    <row r="72" spans="1:2" x14ac:dyDescent="0.35">
      <c r="A72" t="s">
        <v>312</v>
      </c>
      <c r="B72" t="s">
        <v>490</v>
      </c>
    </row>
    <row r="73" spans="1:2" x14ac:dyDescent="0.35">
      <c r="A73" t="s">
        <v>520</v>
      </c>
      <c r="B73" t="s">
        <v>491</v>
      </c>
    </row>
    <row r="74" spans="1:2" x14ac:dyDescent="0.35">
      <c r="A74" t="s">
        <v>655</v>
      </c>
      <c r="B74" t="s">
        <v>736</v>
      </c>
    </row>
    <row r="75" spans="1:2" x14ac:dyDescent="0.35">
      <c r="A75" t="s">
        <v>630</v>
      </c>
      <c r="B75" t="s">
        <v>736</v>
      </c>
    </row>
    <row r="76" spans="1:2" x14ac:dyDescent="0.35">
      <c r="A76" t="s">
        <v>692</v>
      </c>
      <c r="B76" t="s">
        <v>732</v>
      </c>
    </row>
    <row r="77" spans="1:2" x14ac:dyDescent="0.35">
      <c r="A77" t="s">
        <v>812</v>
      </c>
      <c r="B77" t="s">
        <v>733</v>
      </c>
    </row>
    <row r="78" spans="1:2" x14ac:dyDescent="0.35">
      <c r="A78" t="s">
        <v>76</v>
      </c>
      <c r="B78" t="s">
        <v>494</v>
      </c>
    </row>
    <row r="79" spans="1:2" x14ac:dyDescent="0.35">
      <c r="A79" t="s">
        <v>223</v>
      </c>
      <c r="B79" t="s">
        <v>734</v>
      </c>
    </row>
    <row r="80" spans="1:2" x14ac:dyDescent="0.35">
      <c r="A80" t="s">
        <v>667</v>
      </c>
      <c r="B80" t="s">
        <v>283</v>
      </c>
    </row>
    <row r="81" spans="1:2" x14ac:dyDescent="0.35">
      <c r="A81" t="s">
        <v>268</v>
      </c>
      <c r="B81" t="s">
        <v>489</v>
      </c>
    </row>
    <row r="82" spans="1:2" x14ac:dyDescent="0.35">
      <c r="A82" t="s">
        <v>342</v>
      </c>
      <c r="B82" t="s">
        <v>287</v>
      </c>
    </row>
    <row r="83" spans="1:2" x14ac:dyDescent="0.35">
      <c r="A83" t="s">
        <v>802</v>
      </c>
      <c r="B83" t="s">
        <v>489</v>
      </c>
    </row>
    <row r="84" spans="1:2" x14ac:dyDescent="0.35">
      <c r="A84" t="s">
        <v>11</v>
      </c>
      <c r="B84" t="s">
        <v>492</v>
      </c>
    </row>
    <row r="85" spans="1:2" x14ac:dyDescent="0.35">
      <c r="A85" t="s">
        <v>923</v>
      </c>
      <c r="B85" t="s">
        <v>490</v>
      </c>
    </row>
    <row r="86" spans="1:2" x14ac:dyDescent="0.35">
      <c r="A86" t="s">
        <v>959</v>
      </c>
      <c r="B86" t="s">
        <v>287</v>
      </c>
    </row>
    <row r="87" spans="1:2" x14ac:dyDescent="0.35">
      <c r="A87" t="s">
        <v>67</v>
      </c>
      <c r="B87" t="s">
        <v>492</v>
      </c>
    </row>
    <row r="88" spans="1:2" x14ac:dyDescent="0.35">
      <c r="A88" t="s">
        <v>591</v>
      </c>
      <c r="B88" t="s">
        <v>283</v>
      </c>
    </row>
    <row r="89" spans="1:2" x14ac:dyDescent="0.35">
      <c r="A89" t="s">
        <v>90</v>
      </c>
      <c r="B89" t="s">
        <v>284</v>
      </c>
    </row>
    <row r="90" spans="1:2" x14ac:dyDescent="0.35">
      <c r="A90" t="s">
        <v>115</v>
      </c>
      <c r="B90" t="s">
        <v>287</v>
      </c>
    </row>
    <row r="91" spans="1:2" x14ac:dyDescent="0.35">
      <c r="A91" t="s">
        <v>155</v>
      </c>
      <c r="B91" t="s">
        <v>492</v>
      </c>
    </row>
    <row r="92" spans="1:2" x14ac:dyDescent="0.35">
      <c r="A92" t="s">
        <v>957</v>
      </c>
      <c r="B92" t="s">
        <v>491</v>
      </c>
    </row>
    <row r="93" spans="1:2" x14ac:dyDescent="0.35">
      <c r="A93" t="s">
        <v>844</v>
      </c>
      <c r="B93" t="s">
        <v>494</v>
      </c>
    </row>
    <row r="94" spans="1:2" x14ac:dyDescent="0.35">
      <c r="A94" t="s">
        <v>163</v>
      </c>
      <c r="B94" t="s">
        <v>733</v>
      </c>
    </row>
    <row r="95" spans="1:2" x14ac:dyDescent="0.35">
      <c r="A95" t="s">
        <v>266</v>
      </c>
      <c r="B95" t="s">
        <v>287</v>
      </c>
    </row>
    <row r="96" spans="1:2" x14ac:dyDescent="0.35">
      <c r="A96" t="s">
        <v>938</v>
      </c>
      <c r="B96" t="s">
        <v>494</v>
      </c>
    </row>
    <row r="97" spans="1:2" x14ac:dyDescent="0.35">
      <c r="A97" t="s">
        <v>264</v>
      </c>
      <c r="B97" t="s">
        <v>490</v>
      </c>
    </row>
    <row r="98" spans="1:2" x14ac:dyDescent="0.35">
      <c r="A98" t="s">
        <v>926</v>
      </c>
      <c r="B98" t="s">
        <v>283</v>
      </c>
    </row>
    <row r="99" spans="1:2" x14ac:dyDescent="0.35">
      <c r="A99" t="s">
        <v>170</v>
      </c>
      <c r="B99" t="s">
        <v>735</v>
      </c>
    </row>
    <row r="100" spans="1:2" x14ac:dyDescent="0.35">
      <c r="A100" t="s">
        <v>931</v>
      </c>
      <c r="B100" t="s">
        <v>490</v>
      </c>
    </row>
    <row r="101" spans="1:2" x14ac:dyDescent="0.35">
      <c r="A101" t="s">
        <v>12</v>
      </c>
      <c r="B101" t="s">
        <v>1012</v>
      </c>
    </row>
    <row r="102" spans="1:2" x14ac:dyDescent="0.35">
      <c r="A102" t="s">
        <v>238</v>
      </c>
      <c r="B102" t="s">
        <v>283</v>
      </c>
    </row>
    <row r="103" spans="1:2" x14ac:dyDescent="0.35">
      <c r="A103" t="s">
        <v>807</v>
      </c>
      <c r="B103" t="s">
        <v>734</v>
      </c>
    </row>
    <row r="104" spans="1:2" x14ac:dyDescent="0.35">
      <c r="A104" t="s">
        <v>234</v>
      </c>
      <c r="B104" t="s">
        <v>736</v>
      </c>
    </row>
    <row r="105" spans="1:2" x14ac:dyDescent="0.35">
      <c r="A105" t="s">
        <v>138</v>
      </c>
      <c r="B105" t="s">
        <v>287</v>
      </c>
    </row>
    <row r="106" spans="1:2" x14ac:dyDescent="0.35">
      <c r="A106" t="s">
        <v>921</v>
      </c>
      <c r="B106" t="s">
        <v>489</v>
      </c>
    </row>
    <row r="107" spans="1:2" x14ac:dyDescent="0.35">
      <c r="A107" t="s">
        <v>199</v>
      </c>
      <c r="B107" t="s">
        <v>732</v>
      </c>
    </row>
    <row r="108" spans="1:2" x14ac:dyDescent="0.35">
      <c r="A108" t="s">
        <v>154</v>
      </c>
      <c r="B108" t="s">
        <v>284</v>
      </c>
    </row>
    <row r="109" spans="1:2" x14ac:dyDescent="0.35">
      <c r="A109" t="s">
        <v>499</v>
      </c>
      <c r="B109" t="s">
        <v>284</v>
      </c>
    </row>
    <row r="110" spans="1:2" x14ac:dyDescent="0.35">
      <c r="A110" t="s">
        <v>273</v>
      </c>
      <c r="B110" t="s">
        <v>733</v>
      </c>
    </row>
    <row r="111" spans="1:2" x14ac:dyDescent="0.35">
      <c r="A111" t="s">
        <v>186</v>
      </c>
      <c r="B111" t="s">
        <v>492</v>
      </c>
    </row>
    <row r="112" spans="1:2" x14ac:dyDescent="0.35">
      <c r="A112" t="s">
        <v>927</v>
      </c>
      <c r="B112" t="s">
        <v>732</v>
      </c>
    </row>
    <row r="113" spans="1:2" x14ac:dyDescent="0.35">
      <c r="A113" t="s">
        <v>458</v>
      </c>
      <c r="B113" t="s">
        <v>491</v>
      </c>
    </row>
    <row r="114" spans="1:2" x14ac:dyDescent="0.35">
      <c r="A114" t="s">
        <v>979</v>
      </c>
      <c r="B114" t="s">
        <v>491</v>
      </c>
    </row>
    <row r="115" spans="1:2" x14ac:dyDescent="0.35">
      <c r="A115" t="s">
        <v>344</v>
      </c>
      <c r="B115" t="s">
        <v>736</v>
      </c>
    </row>
    <row r="116" spans="1:2" x14ac:dyDescent="0.35">
      <c r="A116" t="s">
        <v>950</v>
      </c>
      <c r="B116" t="s">
        <v>734</v>
      </c>
    </row>
    <row r="117" spans="1:2" x14ac:dyDescent="0.35">
      <c r="A117" t="s">
        <v>929</v>
      </c>
      <c r="B117" t="s">
        <v>490</v>
      </c>
    </row>
    <row r="118" spans="1:2" x14ac:dyDescent="0.35">
      <c r="A118" t="s">
        <v>897</v>
      </c>
      <c r="B118" t="s">
        <v>283</v>
      </c>
    </row>
    <row r="119" spans="1:2" x14ac:dyDescent="0.35">
      <c r="A119" t="s">
        <v>310</v>
      </c>
      <c r="B119" t="s">
        <v>491</v>
      </c>
    </row>
    <row r="120" spans="1:2" x14ac:dyDescent="0.35">
      <c r="A120" t="s">
        <v>9</v>
      </c>
      <c r="B120" t="s">
        <v>1012</v>
      </c>
    </row>
    <row r="121" spans="1:2" x14ac:dyDescent="0.35">
      <c r="A121" t="s">
        <v>339</v>
      </c>
      <c r="B121" t="s">
        <v>733</v>
      </c>
    </row>
    <row r="122" spans="1:2" x14ac:dyDescent="0.35">
      <c r="A122" t="s">
        <v>822</v>
      </c>
      <c r="B122" t="s">
        <v>490</v>
      </c>
    </row>
    <row r="123" spans="1:2" x14ac:dyDescent="0.35">
      <c r="A123" t="s">
        <v>3</v>
      </c>
      <c r="B123" t="s">
        <v>734</v>
      </c>
    </row>
    <row r="124" spans="1:2" x14ac:dyDescent="0.35">
      <c r="A124" t="s">
        <v>128</v>
      </c>
      <c r="B124" t="s">
        <v>733</v>
      </c>
    </row>
    <row r="125" spans="1:2" x14ac:dyDescent="0.35">
      <c r="A125" t="s">
        <v>481</v>
      </c>
      <c r="B125" t="s">
        <v>284</v>
      </c>
    </row>
    <row r="126" spans="1:2" x14ac:dyDescent="0.35">
      <c r="A126" t="s">
        <v>862</v>
      </c>
      <c r="B126" t="s">
        <v>283</v>
      </c>
    </row>
    <row r="127" spans="1:2" x14ac:dyDescent="0.35">
      <c r="A127" t="s">
        <v>909</v>
      </c>
      <c r="B127" t="s">
        <v>1012</v>
      </c>
    </row>
    <row r="128" spans="1:2" x14ac:dyDescent="0.35">
      <c r="A128" t="s">
        <v>824</v>
      </c>
      <c r="B128" t="s">
        <v>1012</v>
      </c>
    </row>
    <row r="129" spans="1:2" x14ac:dyDescent="0.35">
      <c r="A129" t="s">
        <v>20</v>
      </c>
      <c r="B129" t="s">
        <v>494</v>
      </c>
    </row>
    <row r="130" spans="1:2" x14ac:dyDescent="0.35">
      <c r="A130" t="s">
        <v>848</v>
      </c>
      <c r="B130" t="s">
        <v>492</v>
      </c>
    </row>
    <row r="131" spans="1:2" x14ac:dyDescent="0.35">
      <c r="A131" t="s">
        <v>720</v>
      </c>
      <c r="B131" t="s">
        <v>283</v>
      </c>
    </row>
  </sheetData>
  <sortState xmlns:xlrd2="http://schemas.microsoft.com/office/spreadsheetml/2017/richdata2" ref="A2:B131">
    <sortCondition ref="A2:A131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37FC2-C673-49A1-B530-947DCDBBA757}">
  <sheetPr codeName="Tabelle1"/>
  <dimension ref="A1:W21"/>
  <sheetViews>
    <sheetView zoomScale="115" zoomScaleNormal="115" workbookViewId="0">
      <selection activeCell="D5" sqref="D5"/>
    </sheetView>
  </sheetViews>
  <sheetFormatPr baseColWidth="10" defaultColWidth="11.54296875" defaultRowHeight="14.5" x14ac:dyDescent="0.35"/>
  <cols>
    <col min="1" max="1" width="8.1796875" style="18" bestFit="1" customWidth="1"/>
    <col min="2" max="2" width="13.6328125" style="18" bestFit="1" customWidth="1"/>
    <col min="3" max="3" width="12.54296875" style="18" customWidth="1"/>
    <col min="4" max="4" width="38.36328125" style="21" bestFit="1" customWidth="1"/>
    <col min="5" max="5" width="48.08984375" style="44" bestFit="1" customWidth="1"/>
    <col min="6" max="8" width="13.6328125" style="18" bestFit="1" customWidth="1"/>
    <col min="9" max="17" width="13.6328125" style="18" customWidth="1"/>
    <col min="18" max="18" width="8.1796875" style="18" customWidth="1"/>
    <col min="19" max="20" width="13.6328125" style="18" customWidth="1"/>
    <col min="21" max="21" width="10.54296875" style="23" customWidth="1"/>
    <col min="22" max="22" width="30.90625" style="18" customWidth="1"/>
    <col min="23" max="23" width="10.1796875" style="18" bestFit="1" customWidth="1"/>
    <col min="24" max="16384" width="11.54296875" style="18"/>
  </cols>
  <sheetData>
    <row r="1" spans="1:23" x14ac:dyDescent="0.35">
      <c r="A1" s="33" t="s">
        <v>918</v>
      </c>
      <c r="B1" s="33" t="s">
        <v>331</v>
      </c>
      <c r="C1" s="33" t="s">
        <v>854</v>
      </c>
      <c r="D1" s="38"/>
      <c r="F1" s="33" t="s">
        <v>331</v>
      </c>
      <c r="G1" s="33" t="s">
        <v>331</v>
      </c>
      <c r="H1" s="33" t="s">
        <v>331</v>
      </c>
      <c r="I1" s="33" t="s">
        <v>331</v>
      </c>
      <c r="J1" s="33" t="s">
        <v>331</v>
      </c>
      <c r="K1" s="33" t="s">
        <v>331</v>
      </c>
      <c r="L1" s="33" t="s">
        <v>331</v>
      </c>
      <c r="M1" s="33" t="s">
        <v>331</v>
      </c>
      <c r="N1" s="33" t="s">
        <v>331</v>
      </c>
      <c r="O1" s="33" t="s">
        <v>331</v>
      </c>
      <c r="P1" s="33" t="s">
        <v>331</v>
      </c>
      <c r="Q1" s="33"/>
      <c r="R1" s="33"/>
      <c r="S1" s="33"/>
      <c r="T1" s="33"/>
      <c r="U1" s="34"/>
      <c r="V1" s="33"/>
    </row>
    <row r="2" spans="1:23" x14ac:dyDescent="0.35">
      <c r="A2" s="33" t="s">
        <v>259</v>
      </c>
      <c r="B2" s="33" t="s">
        <v>990</v>
      </c>
      <c r="C2" s="33"/>
      <c r="D2" s="38" t="s">
        <v>694</v>
      </c>
      <c r="E2" s="45" t="s">
        <v>660</v>
      </c>
      <c r="F2" s="33" t="s">
        <v>975</v>
      </c>
      <c r="G2" s="33" t="s">
        <v>916</v>
      </c>
      <c r="H2" s="33" t="s">
        <v>905</v>
      </c>
      <c r="I2" s="33" t="s">
        <v>889</v>
      </c>
      <c r="J2" s="33" t="s">
        <v>867</v>
      </c>
      <c r="K2" s="33" t="s">
        <v>852</v>
      </c>
      <c r="L2" s="33" t="s">
        <v>823</v>
      </c>
      <c r="M2" s="33" t="s">
        <v>805</v>
      </c>
      <c r="N2" s="33" t="s">
        <v>803</v>
      </c>
      <c r="O2" s="33" t="s">
        <v>774</v>
      </c>
      <c r="P2" s="33" t="s">
        <v>747</v>
      </c>
      <c r="Q2" s="33" t="s">
        <v>744</v>
      </c>
      <c r="R2" s="33" t="s">
        <v>259</v>
      </c>
      <c r="S2" s="33" t="s">
        <v>674</v>
      </c>
      <c r="T2" s="33" t="s">
        <v>675</v>
      </c>
      <c r="U2" s="34" t="s">
        <v>307</v>
      </c>
      <c r="V2" s="33" t="s">
        <v>305</v>
      </c>
      <c r="W2" s="18" t="s">
        <v>660</v>
      </c>
    </row>
    <row r="3" spans="1:23" x14ac:dyDescent="0.35">
      <c r="A3" s="34" t="s">
        <v>283</v>
      </c>
      <c r="B3" s="35" t="s">
        <v>591</v>
      </c>
      <c r="C3" s="35"/>
      <c r="D3" s="48" t="s">
        <v>991</v>
      </c>
      <c r="E3" s="42"/>
      <c r="F3" s="35" t="s">
        <v>591</v>
      </c>
      <c r="G3" s="35" t="s">
        <v>591</v>
      </c>
      <c r="H3" s="35" t="s">
        <v>591</v>
      </c>
      <c r="I3" s="35" t="s">
        <v>591</v>
      </c>
      <c r="J3" s="35" t="s">
        <v>591</v>
      </c>
      <c r="K3" s="35" t="s">
        <v>591</v>
      </c>
      <c r="L3" s="35" t="s">
        <v>591</v>
      </c>
      <c r="M3" s="35" t="s">
        <v>591</v>
      </c>
      <c r="N3" s="35" t="s">
        <v>591</v>
      </c>
      <c r="O3" s="35" t="s">
        <v>591</v>
      </c>
      <c r="P3" s="35" t="s">
        <v>591</v>
      </c>
      <c r="Q3" s="35" t="s">
        <v>2</v>
      </c>
      <c r="R3" s="34" t="s">
        <v>283</v>
      </c>
      <c r="S3" s="35" t="s">
        <v>2</v>
      </c>
      <c r="T3" s="35" t="s">
        <v>2</v>
      </c>
      <c r="U3" s="34"/>
      <c r="V3" s="39" t="e">
        <f>VLOOKUP(J3,Members!J:N,6,FALSE)</f>
        <v>#REF!</v>
      </c>
    </row>
    <row r="4" spans="1:23" x14ac:dyDescent="0.35">
      <c r="A4" s="34" t="s">
        <v>284</v>
      </c>
      <c r="B4" s="35" t="s">
        <v>919</v>
      </c>
      <c r="C4" s="35"/>
      <c r="D4" s="48" t="s">
        <v>991</v>
      </c>
      <c r="E4" s="42"/>
      <c r="F4" s="35" t="s">
        <v>919</v>
      </c>
      <c r="G4" s="35" t="s">
        <v>156</v>
      </c>
      <c r="H4" s="35" t="s">
        <v>2</v>
      </c>
      <c r="I4" s="35" t="s">
        <v>2</v>
      </c>
      <c r="J4" s="35" t="s">
        <v>203</v>
      </c>
      <c r="K4" s="35" t="s">
        <v>591</v>
      </c>
      <c r="L4" s="35" t="s">
        <v>591</v>
      </c>
      <c r="M4" s="35" t="s">
        <v>591</v>
      </c>
      <c r="N4" s="35" t="s">
        <v>591</v>
      </c>
      <c r="O4" s="35" t="s">
        <v>591</v>
      </c>
      <c r="P4" s="35" t="s">
        <v>591</v>
      </c>
      <c r="Q4" s="35" t="s">
        <v>2</v>
      </c>
      <c r="R4" s="34" t="s">
        <v>284</v>
      </c>
      <c r="S4" s="35" t="s">
        <v>2</v>
      </c>
      <c r="T4" s="35" t="s">
        <v>2</v>
      </c>
      <c r="U4" s="34"/>
      <c r="V4" s="39" t="e">
        <f>VLOOKUP(J4,Members!J:N,6,FALSE)</f>
        <v>#REF!</v>
      </c>
    </row>
    <row r="5" spans="1:23" ht="29" x14ac:dyDescent="0.35">
      <c r="A5" s="34" t="s">
        <v>732</v>
      </c>
      <c r="B5" s="35" t="s">
        <v>0</v>
      </c>
      <c r="C5" s="35"/>
      <c r="D5" s="48" t="s">
        <v>992</v>
      </c>
      <c r="E5" s="42"/>
      <c r="F5" s="35" t="s">
        <v>0</v>
      </c>
      <c r="G5" s="35" t="s">
        <v>0</v>
      </c>
      <c r="H5" s="35" t="s">
        <v>0</v>
      </c>
      <c r="I5" s="35" t="s">
        <v>0</v>
      </c>
      <c r="J5" s="35" t="s">
        <v>0</v>
      </c>
      <c r="K5" s="35" t="s">
        <v>203</v>
      </c>
      <c r="L5" s="35" t="s">
        <v>516</v>
      </c>
      <c r="M5" s="35" t="s">
        <v>516</v>
      </c>
      <c r="N5" s="35" t="s">
        <v>516</v>
      </c>
      <c r="O5" s="35" t="s">
        <v>156</v>
      </c>
      <c r="P5" s="35" t="s">
        <v>46</v>
      </c>
      <c r="Q5" s="35" t="s">
        <v>516</v>
      </c>
      <c r="R5" s="34"/>
      <c r="S5" s="35"/>
      <c r="T5" s="35"/>
      <c r="U5" s="34"/>
      <c r="V5" s="39" t="e">
        <f>VLOOKUP(J5,Members!J:N,6,FALSE)</f>
        <v>#REF!</v>
      </c>
    </row>
    <row r="6" spans="1:23" x14ac:dyDescent="0.35">
      <c r="A6" s="36" t="s">
        <v>287</v>
      </c>
      <c r="B6" s="35" t="s">
        <v>591</v>
      </c>
      <c r="C6" s="35"/>
      <c r="D6" s="48" t="s">
        <v>991</v>
      </c>
      <c r="E6" s="42"/>
      <c r="F6" s="35" t="s">
        <v>591</v>
      </c>
      <c r="G6" s="20" t="s">
        <v>533</v>
      </c>
      <c r="H6" s="35" t="s">
        <v>591</v>
      </c>
      <c r="I6" s="35" t="s">
        <v>591</v>
      </c>
      <c r="J6" s="35" t="s">
        <v>591</v>
      </c>
      <c r="K6" s="35" t="s">
        <v>0</v>
      </c>
      <c r="L6" s="35" t="s">
        <v>0</v>
      </c>
      <c r="M6" s="35" t="s">
        <v>160</v>
      </c>
      <c r="N6" s="35" t="s">
        <v>663</v>
      </c>
      <c r="O6" s="35" t="s">
        <v>203</v>
      </c>
      <c r="P6" s="35" t="s">
        <v>463</v>
      </c>
      <c r="Q6" s="35" t="s">
        <v>8</v>
      </c>
      <c r="R6" s="34" t="s">
        <v>287</v>
      </c>
      <c r="S6" s="35" t="s">
        <v>513</v>
      </c>
      <c r="T6" s="35" t="s">
        <v>513</v>
      </c>
      <c r="U6" s="34"/>
      <c r="V6" s="39" t="e">
        <f>VLOOKUP(J6,Members!J:N,6,FALSE)</f>
        <v>#REF!</v>
      </c>
    </row>
    <row r="7" spans="1:23" x14ac:dyDescent="0.35">
      <c r="A7" s="36" t="s">
        <v>733</v>
      </c>
      <c r="B7" s="35" t="s">
        <v>930</v>
      </c>
      <c r="C7" s="35"/>
      <c r="D7" s="48" t="s">
        <v>991</v>
      </c>
      <c r="E7" s="42"/>
      <c r="F7" s="35" t="s">
        <v>533</v>
      </c>
      <c r="G7" s="35" t="s">
        <v>0</v>
      </c>
      <c r="H7" s="35" t="s">
        <v>0</v>
      </c>
      <c r="I7" s="35" t="s">
        <v>0</v>
      </c>
      <c r="J7" s="35" t="s">
        <v>0</v>
      </c>
      <c r="K7" s="35" t="s">
        <v>0</v>
      </c>
      <c r="L7" s="35" t="s">
        <v>0</v>
      </c>
      <c r="M7" s="35" t="s">
        <v>0</v>
      </c>
      <c r="N7" s="35" t="s">
        <v>0</v>
      </c>
      <c r="O7" s="35" t="s">
        <v>663</v>
      </c>
      <c r="P7" s="35" t="s">
        <v>2</v>
      </c>
      <c r="Q7" s="35" t="s">
        <v>203</v>
      </c>
      <c r="R7" s="34"/>
      <c r="S7" s="35"/>
      <c r="T7" s="35"/>
      <c r="U7" s="34"/>
      <c r="V7" s="39" t="e">
        <f>VLOOKUP(J7,Members!J:N,6,FALSE)</f>
        <v>#REF!</v>
      </c>
    </row>
    <row r="8" spans="1:23" ht="29" x14ac:dyDescent="0.35">
      <c r="A8" s="36" t="s">
        <v>734</v>
      </c>
      <c r="B8" s="35" t="s">
        <v>513</v>
      </c>
      <c r="C8" s="35"/>
      <c r="D8" s="48" t="s">
        <v>993</v>
      </c>
      <c r="E8" s="42"/>
      <c r="F8" s="35" t="s">
        <v>513</v>
      </c>
      <c r="G8" s="35" t="s">
        <v>513</v>
      </c>
      <c r="H8" s="35" t="s">
        <v>513</v>
      </c>
      <c r="I8" s="35" t="s">
        <v>513</v>
      </c>
      <c r="J8" s="35" t="s">
        <v>513</v>
      </c>
      <c r="K8" s="35" t="s">
        <v>513</v>
      </c>
      <c r="L8" s="35" t="s">
        <v>513</v>
      </c>
      <c r="M8" s="35" t="s">
        <v>513</v>
      </c>
      <c r="N8" s="35" t="s">
        <v>513</v>
      </c>
      <c r="O8" s="35" t="s">
        <v>513</v>
      </c>
      <c r="P8" s="35" t="s">
        <v>513</v>
      </c>
      <c r="Q8" s="35" t="s">
        <v>513</v>
      </c>
      <c r="R8" s="34"/>
      <c r="S8" s="35"/>
      <c r="T8" s="35"/>
      <c r="U8" s="34"/>
      <c r="V8" s="39" t="e">
        <f>VLOOKUP(J8,Members!J:N,6,FALSE)</f>
        <v>#REF!</v>
      </c>
    </row>
    <row r="9" spans="1:23" x14ac:dyDescent="0.35">
      <c r="A9" s="36" t="s">
        <v>489</v>
      </c>
      <c r="B9" s="49" t="s">
        <v>663</v>
      </c>
      <c r="C9" s="35"/>
      <c r="D9" s="48" t="s">
        <v>991</v>
      </c>
      <c r="E9" s="42"/>
      <c r="F9" s="35" t="s">
        <v>930</v>
      </c>
      <c r="G9" s="35" t="s">
        <v>160</v>
      </c>
      <c r="H9" s="35" t="s">
        <v>160</v>
      </c>
      <c r="I9" s="35" t="s">
        <v>160</v>
      </c>
      <c r="J9" s="35" t="s">
        <v>63</v>
      </c>
      <c r="K9" s="35" t="s">
        <v>63</v>
      </c>
      <c r="L9" s="35" t="s">
        <v>63</v>
      </c>
      <c r="M9" s="35" t="s">
        <v>63</v>
      </c>
      <c r="N9" s="35" t="s">
        <v>63</v>
      </c>
      <c r="O9" s="35" t="s">
        <v>63</v>
      </c>
      <c r="P9" s="35" t="s">
        <v>63</v>
      </c>
      <c r="Q9" s="35" t="s">
        <v>63</v>
      </c>
      <c r="R9" s="34" t="s">
        <v>489</v>
      </c>
      <c r="S9" s="35" t="s">
        <v>63</v>
      </c>
      <c r="T9" s="35" t="s">
        <v>63</v>
      </c>
      <c r="U9" s="34"/>
      <c r="V9" s="39" t="e">
        <f>VLOOKUP(J9,Members!J:N,6,FALSE)</f>
        <v>#REF!</v>
      </c>
    </row>
    <row r="10" spans="1:23" x14ac:dyDescent="0.35">
      <c r="A10" s="36" t="s">
        <v>490</v>
      </c>
      <c r="B10" s="49" t="s">
        <v>0</v>
      </c>
      <c r="C10" s="35"/>
      <c r="D10" s="48" t="s">
        <v>991</v>
      </c>
      <c r="E10" s="42"/>
      <c r="F10" s="35" t="s">
        <v>663</v>
      </c>
      <c r="G10" s="35" t="s">
        <v>63</v>
      </c>
      <c r="H10" s="35" t="s">
        <v>203</v>
      </c>
      <c r="I10" s="35" t="s">
        <v>203</v>
      </c>
      <c r="J10" s="35" t="s">
        <v>160</v>
      </c>
      <c r="K10" s="35" t="s">
        <v>1</v>
      </c>
      <c r="L10" s="35" t="s">
        <v>203</v>
      </c>
      <c r="M10" s="35" t="s">
        <v>203</v>
      </c>
      <c r="N10" s="35" t="s">
        <v>0</v>
      </c>
      <c r="O10" s="35" t="s">
        <v>0</v>
      </c>
      <c r="P10" s="35" t="s">
        <v>0</v>
      </c>
      <c r="Q10" s="35" t="s">
        <v>8</v>
      </c>
      <c r="R10" s="34" t="s">
        <v>490</v>
      </c>
      <c r="S10" s="35" t="s">
        <v>8</v>
      </c>
      <c r="T10" s="35" t="s">
        <v>8</v>
      </c>
      <c r="U10" s="34"/>
      <c r="V10" s="39" t="e">
        <f>VLOOKUP(J10,Members!J:N,6,FALSE)</f>
        <v>#REF!</v>
      </c>
    </row>
    <row r="11" spans="1:23" x14ac:dyDescent="0.35">
      <c r="A11" s="36" t="s">
        <v>735</v>
      </c>
      <c r="B11" s="49" t="s">
        <v>160</v>
      </c>
      <c r="C11" s="35"/>
      <c r="D11" s="48" t="s">
        <v>991</v>
      </c>
      <c r="E11" s="42"/>
      <c r="F11" s="35" t="s">
        <v>160</v>
      </c>
      <c r="G11" s="35" t="s">
        <v>591</v>
      </c>
      <c r="H11" s="35" t="s">
        <v>663</v>
      </c>
      <c r="I11" s="20" t="s">
        <v>411</v>
      </c>
      <c r="J11" s="35" t="s">
        <v>663</v>
      </c>
      <c r="K11" s="35" t="s">
        <v>812</v>
      </c>
      <c r="L11" s="35" t="s">
        <v>160</v>
      </c>
      <c r="M11" s="35" t="s">
        <v>160</v>
      </c>
      <c r="N11" s="35" t="s">
        <v>160</v>
      </c>
      <c r="O11" s="35" t="s">
        <v>160</v>
      </c>
      <c r="P11" s="35" t="s">
        <v>160</v>
      </c>
      <c r="Q11" s="35" t="s">
        <v>46</v>
      </c>
      <c r="R11" s="34"/>
      <c r="S11" s="35"/>
      <c r="T11" s="35"/>
      <c r="U11" s="34"/>
      <c r="V11" s="39" t="e">
        <f>VLOOKUP(J11,Members!J:N,6,FALSE)</f>
        <v>#REF!</v>
      </c>
    </row>
    <row r="12" spans="1:23" x14ac:dyDescent="0.35">
      <c r="A12" s="36" t="s">
        <v>736</v>
      </c>
      <c r="B12" s="49" t="s">
        <v>203</v>
      </c>
      <c r="C12" s="35"/>
      <c r="D12" s="48" t="s">
        <v>991</v>
      </c>
      <c r="E12" s="42"/>
      <c r="F12" s="35" t="s">
        <v>533</v>
      </c>
      <c r="G12" s="35" t="s">
        <v>156</v>
      </c>
      <c r="H12" s="35" t="s">
        <v>63</v>
      </c>
      <c r="I12" s="35" t="s">
        <v>63</v>
      </c>
      <c r="J12" s="35" t="s">
        <v>160</v>
      </c>
      <c r="K12" s="35" t="s">
        <v>160</v>
      </c>
      <c r="L12" s="35" t="s">
        <v>160</v>
      </c>
      <c r="M12" s="35" t="s">
        <v>663</v>
      </c>
      <c r="N12" s="35" t="s">
        <v>203</v>
      </c>
      <c r="O12" s="35" t="s">
        <v>8</v>
      </c>
      <c r="P12" s="35" t="s">
        <v>203</v>
      </c>
      <c r="Q12" s="35" t="s">
        <v>46</v>
      </c>
      <c r="R12" s="34"/>
      <c r="S12" s="35"/>
      <c r="T12" s="35"/>
      <c r="U12" s="34"/>
      <c r="V12" s="39" t="e">
        <f>VLOOKUP(J12,Members!J:N,6,FALSE)</f>
        <v>#REF!</v>
      </c>
    </row>
    <row r="13" spans="1:23" x14ac:dyDescent="0.35">
      <c r="A13" s="36" t="s">
        <v>491</v>
      </c>
      <c r="B13" s="49" t="s">
        <v>919</v>
      </c>
      <c r="C13" s="35"/>
      <c r="D13" s="48" t="s">
        <v>991</v>
      </c>
      <c r="E13" s="42"/>
      <c r="F13" s="35" t="s">
        <v>919</v>
      </c>
      <c r="G13" s="20" t="s">
        <v>919</v>
      </c>
      <c r="H13" s="35" t="s">
        <v>663</v>
      </c>
      <c r="I13" s="35" t="s">
        <v>82</v>
      </c>
      <c r="J13" s="35" t="s">
        <v>82</v>
      </c>
      <c r="K13" s="35" t="s">
        <v>663</v>
      </c>
      <c r="L13" s="35" t="s">
        <v>663</v>
      </c>
      <c r="M13" s="35" t="s">
        <v>0</v>
      </c>
      <c r="N13" s="35" t="s">
        <v>663</v>
      </c>
      <c r="O13" s="35" t="s">
        <v>8</v>
      </c>
      <c r="P13" s="35" t="s">
        <v>8</v>
      </c>
      <c r="Q13" s="35" t="s">
        <v>0</v>
      </c>
      <c r="R13" s="34" t="s">
        <v>491</v>
      </c>
      <c r="S13" s="35" t="s">
        <v>0</v>
      </c>
      <c r="T13" s="35" t="s">
        <v>0</v>
      </c>
      <c r="U13" s="34"/>
      <c r="V13" s="39" t="e">
        <f>VLOOKUP(J13,Members!J:N,6,FALSE)</f>
        <v>#REF!</v>
      </c>
    </row>
    <row r="14" spans="1:23" x14ac:dyDescent="0.35">
      <c r="A14" s="36" t="s">
        <v>492</v>
      </c>
      <c r="B14" s="49" t="s">
        <v>663</v>
      </c>
      <c r="C14" s="35"/>
      <c r="D14" s="48" t="s">
        <v>991</v>
      </c>
      <c r="E14" s="42"/>
      <c r="F14" s="35" t="s">
        <v>82</v>
      </c>
      <c r="G14" s="35" t="s">
        <v>82</v>
      </c>
      <c r="H14" s="35" t="s">
        <v>1</v>
      </c>
      <c r="I14" s="35" t="s">
        <v>1</v>
      </c>
      <c r="J14" s="35" t="s">
        <v>1</v>
      </c>
      <c r="K14" s="35" t="s">
        <v>82</v>
      </c>
      <c r="L14" s="35" t="s">
        <v>82</v>
      </c>
      <c r="M14" s="35" t="s">
        <v>82</v>
      </c>
      <c r="N14" s="35" t="s">
        <v>82</v>
      </c>
      <c r="O14" s="35" t="s">
        <v>82</v>
      </c>
      <c r="P14" s="35" t="s">
        <v>46</v>
      </c>
      <c r="Q14" s="35" t="s">
        <v>160</v>
      </c>
      <c r="R14" s="34" t="s">
        <v>492</v>
      </c>
      <c r="S14" s="35" t="s">
        <v>46</v>
      </c>
      <c r="T14" s="35" t="s">
        <v>1</v>
      </c>
      <c r="U14" s="40"/>
      <c r="V14" s="39" t="e">
        <f>VLOOKUP(J14,Members!J:N,6,FALSE)</f>
        <v>#REF!</v>
      </c>
    </row>
    <row r="15" spans="1:23" x14ac:dyDescent="0.35">
      <c r="A15" s="36" t="s">
        <v>494</v>
      </c>
      <c r="B15" s="35" t="s">
        <v>63</v>
      </c>
      <c r="C15" s="35"/>
      <c r="D15" s="48" t="s">
        <v>991</v>
      </c>
      <c r="E15" s="42"/>
      <c r="F15" s="35" t="s">
        <v>63</v>
      </c>
      <c r="G15" s="47" t="s">
        <v>238</v>
      </c>
      <c r="H15" s="35" t="s">
        <v>82</v>
      </c>
      <c r="I15" s="35" t="s">
        <v>663</v>
      </c>
      <c r="J15" s="35" t="s">
        <v>2</v>
      </c>
      <c r="K15" s="35" t="s">
        <v>2</v>
      </c>
      <c r="L15" s="35" t="s">
        <v>2</v>
      </c>
      <c r="M15" s="35" t="s">
        <v>2</v>
      </c>
      <c r="N15" s="35" t="s">
        <v>160</v>
      </c>
      <c r="O15" s="35" t="s">
        <v>2</v>
      </c>
      <c r="P15" s="35" t="s">
        <v>82</v>
      </c>
      <c r="Q15" s="35" t="s">
        <v>82</v>
      </c>
      <c r="R15" s="34" t="s">
        <v>494</v>
      </c>
      <c r="S15" s="35" t="s">
        <v>1</v>
      </c>
      <c r="T15" s="35" t="s">
        <v>46</v>
      </c>
      <c r="U15" s="34"/>
      <c r="V15" s="39" t="e">
        <f>VLOOKUP(J15,Members!J:N,6,FALSE)</f>
        <v>#REF!</v>
      </c>
    </row>
    <row r="16" spans="1:23" x14ac:dyDescent="0.35">
      <c r="A16" s="23"/>
      <c r="B16" s="23"/>
      <c r="C16" s="23"/>
      <c r="E16" s="46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 t="s">
        <v>493</v>
      </c>
      <c r="S16" s="20" t="s">
        <v>46</v>
      </c>
      <c r="T16" s="20" t="s">
        <v>411</v>
      </c>
      <c r="V16" s="20" t="s">
        <v>414</v>
      </c>
    </row>
    <row r="17" spans="1:23" x14ac:dyDescent="0.35">
      <c r="A17" s="23"/>
      <c r="B17" s="23"/>
      <c r="C17" s="23"/>
      <c r="E17" s="46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 t="s">
        <v>495</v>
      </c>
      <c r="S17" s="20" t="s">
        <v>203</v>
      </c>
      <c r="T17" s="20" t="s">
        <v>203</v>
      </c>
      <c r="V17" s="20" t="s">
        <v>206</v>
      </c>
      <c r="W17" s="21"/>
    </row>
    <row r="18" spans="1:23" x14ac:dyDescent="0.35">
      <c r="A18" s="23"/>
      <c r="B18" s="23"/>
      <c r="C18" s="23"/>
      <c r="E18" s="46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496</v>
      </c>
      <c r="S18" s="20" t="s">
        <v>160</v>
      </c>
      <c r="T18" s="20" t="s">
        <v>8</v>
      </c>
      <c r="U18" s="25"/>
      <c r="V18" s="20" t="s">
        <v>161</v>
      </c>
    </row>
    <row r="19" spans="1:23" x14ac:dyDescent="0.35">
      <c r="A19" s="23"/>
      <c r="B19" s="23"/>
      <c r="C19" s="23"/>
      <c r="E19" s="46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 t="s">
        <v>497</v>
      </c>
      <c r="S19" s="20" t="s">
        <v>82</v>
      </c>
      <c r="T19" s="20" t="s">
        <v>82</v>
      </c>
      <c r="U19" s="25"/>
      <c r="V19" s="24" t="s">
        <v>85</v>
      </c>
    </row>
    <row r="20" spans="1:23" x14ac:dyDescent="0.35">
      <c r="A20" s="23"/>
      <c r="B20" s="23"/>
      <c r="C20" s="23"/>
      <c r="E20" s="46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 t="s">
        <v>498</v>
      </c>
      <c r="S20" s="20" t="s">
        <v>46</v>
      </c>
      <c r="T20" s="20" t="s">
        <v>46</v>
      </c>
      <c r="V20" s="24" t="s">
        <v>47</v>
      </c>
    </row>
    <row r="21" spans="1:23" x14ac:dyDescent="0.35">
      <c r="R21" s="23" t="s">
        <v>740</v>
      </c>
      <c r="S21" s="20" t="s">
        <v>516</v>
      </c>
      <c r="V21" s="20" t="s">
        <v>608</v>
      </c>
    </row>
  </sheetData>
  <autoFilter ref="A2:W21" xr:uid="{DF36D83D-41D7-4E96-A1E1-833976897311}"/>
  <sortState xmlns:xlrd2="http://schemas.microsoft.com/office/spreadsheetml/2017/richdata2" ref="A3:V20">
    <sortCondition ref="A3:A20"/>
  </sortState>
  <hyperlinks>
    <hyperlink ref="V17" r:id="rId1" xr:uid="{A4E9B3C0-6332-47DE-9445-1D46AA56A959}"/>
    <hyperlink ref="V16" r:id="rId2" xr:uid="{D31CECBA-DFFB-4684-8E21-66BAD30E6A81}"/>
    <hyperlink ref="V22" r:id="rId3" display="rsoldermatt@bluewin.ch" xr:uid="{8E66B557-C9D3-43D9-BF0D-44DCEF5F6990}"/>
    <hyperlink ref="T17" r:id="rId4" xr:uid="{1F04E318-CD83-4BF6-B682-5506436959E8}"/>
    <hyperlink ref="T16" r:id="rId5" xr:uid="{BFFFC92E-D29A-40A9-80C4-2DED271F2263}"/>
    <hyperlink ref="T13" r:id="rId6" xr:uid="{B450B9E1-1A00-42D2-8F84-5B948126C948}"/>
    <hyperlink ref="V3" r:id="rId7" display="kerstin.dobrindt@outlook.de" xr:uid="{9F5C7F50-C305-40FB-B7C7-2168F4F49DD4}"/>
    <hyperlink ref="V19" r:id="rId8" xr:uid="{3BFAED3B-281D-42B2-9D82-9F32F23E1AD9}"/>
    <hyperlink ref="V20" r:id="rId9" xr:uid="{F462E8CB-5ABC-458B-8706-3BDEF34E0830}"/>
    <hyperlink ref="T6" r:id="rId10" display="69 Sandman" xr:uid="{4C39F1AB-0B08-4C3C-8450-3DED8FA81E20}"/>
    <hyperlink ref="T9" r:id="rId11" xr:uid="{6C61AABB-B2A1-4540-8A1A-9EC8A88414A1}"/>
    <hyperlink ref="T19" r:id="rId12" xr:uid="{6A26C441-D546-49F2-8F22-AEFF9C7D623D}"/>
    <hyperlink ref="T3:T4" r:id="rId13" display="CaroLinchen" xr:uid="{C784E72E-DC6D-4AC6-8C48-0874BFE46A82}"/>
    <hyperlink ref="T10" r:id="rId14" xr:uid="{CE75FEC3-6BE1-462F-BB21-A3E301F7F091}"/>
    <hyperlink ref="T14" r:id="rId15" xr:uid="{E0CA9425-B5E7-430C-9535-8BD0333530AD}"/>
    <hyperlink ref="T15" r:id="rId16" xr:uid="{992DBB00-4762-4429-9F9B-4D282ABE4E1F}"/>
    <hyperlink ref="T20" r:id="rId17" xr:uid="{360DEEFF-8CB5-4D39-987C-5E44EBDBC5D3}"/>
    <hyperlink ref="S3:S4" r:id="rId18" display="CaroLinchen" xr:uid="{4DB33F5B-4827-467D-9ADF-623B6408E6EE}"/>
    <hyperlink ref="S15" r:id="rId19" xr:uid="{8F6F0311-470D-4A0D-ADC4-AAEB711450CF}"/>
    <hyperlink ref="T18" r:id="rId20" xr:uid="{82C9CB1D-0596-4DF2-AA94-72208D27F9FF}"/>
    <hyperlink ref="S9" r:id="rId21" xr:uid="{A77BA8F6-B192-4606-B467-802CF767F0B3}"/>
    <hyperlink ref="S10" r:id="rId22" xr:uid="{5BDB6D84-D9D7-4B04-B931-7456923B7CA3}"/>
    <hyperlink ref="S18" r:id="rId23" xr:uid="{ED573BDF-6B4B-4362-82C4-3EE8FE0F5E4A}"/>
    <hyperlink ref="V18" r:id="rId24" xr:uid="{29C9707A-F391-4C2E-859A-01BB91FD9857}"/>
    <hyperlink ref="S13" r:id="rId25" xr:uid="{BD6A3BF9-E428-4EBD-93EB-A833C163AF58}"/>
    <hyperlink ref="S19" r:id="rId26" display="Feuillesmortes" xr:uid="{155F4598-6912-4AC2-AA43-C54E64048791}"/>
    <hyperlink ref="S20" r:id="rId27" xr:uid="{55673F30-A87E-4ABF-9F6A-1F88C7CF923E}"/>
    <hyperlink ref="S14" r:id="rId28" xr:uid="{E6CF6635-46F2-4782-AADB-4F776360F4AF}"/>
    <hyperlink ref="S6" r:id="rId29" display="69 Sandman" xr:uid="{13CEDAEF-11ED-4127-B037-A52B38B55639}"/>
    <hyperlink ref="S17" r:id="rId30" xr:uid="{E04CE67D-C4A4-4EFE-A3BA-37B2E04DA101}"/>
    <hyperlink ref="S16" r:id="rId31" xr:uid="{27C59508-04A3-49A7-B8B8-C750CB5AD1A0}"/>
    <hyperlink ref="S21" r:id="rId32" xr:uid="{2D03A395-AA4B-4A7C-BCD7-E5BDDA1DABB3}"/>
    <hyperlink ref="V21" r:id="rId33" xr:uid="{C4B1AA86-9299-40B6-8EDC-22B803FD5186}"/>
    <hyperlink ref="Q3:Q4" r:id="rId34" display="CaroLinchen" xr:uid="{A0C92D12-1176-46A5-A1FA-DE87D0E99247}"/>
    <hyperlink ref="Q8" r:id="rId35" display="69 Sandman" xr:uid="{085CC878-CB28-4680-983F-ACBDCA5F040E}"/>
    <hyperlink ref="Q10" r:id="rId36" xr:uid="{76EB1071-CAE6-47A9-BCE9-C64751F8553A}"/>
    <hyperlink ref="Q13" r:id="rId37" xr:uid="{CA99AAB8-3D50-4055-930C-1E62EF3EAE9D}"/>
    <hyperlink ref="Q15" r:id="rId38" display="Feuillesmortes" xr:uid="{E7BD1CC5-D8B6-4ACE-98A7-8F7CC859F555}"/>
    <hyperlink ref="Q9" r:id="rId39" xr:uid="{D97418D3-70AA-4FD8-961F-85DBC6F67DD8}"/>
    <hyperlink ref="Q5" r:id="rId40" xr:uid="{91314F2B-14B5-4A1B-927A-F29E7F27FE7A}"/>
    <hyperlink ref="Q14" r:id="rId41" xr:uid="{67F82939-1E80-41F9-BC81-08B3946F7CF4}"/>
    <hyperlink ref="Q12" r:id="rId42" xr:uid="{AC1089DC-8CF2-49DD-ACCC-7A49A4A1BD54}"/>
    <hyperlink ref="Q6" r:id="rId43" xr:uid="{15048513-360C-417A-87EC-5696BC79CCBE}"/>
    <hyperlink ref="Q7" r:id="rId44" xr:uid="{B05DFA9D-E60B-45AC-ADF0-085DE32A9C5A}"/>
    <hyperlink ref="Q11" r:id="rId45" xr:uid="{42633A7B-F65F-4896-A862-1C17C4325F4F}"/>
    <hyperlink ref="P3" r:id="rId46" xr:uid="{4AFA5C70-959A-4274-81AA-89A248CFA37D}"/>
    <hyperlink ref="P4" r:id="rId47" xr:uid="{B853FA6A-7F7A-48EF-AB68-DCCF50CEAB3C}"/>
    <hyperlink ref="P10" r:id="rId48" xr:uid="{2B2E00AF-1ADC-4F6B-8655-09692A975616}"/>
    <hyperlink ref="P11" r:id="rId49" xr:uid="{A612C73C-9958-441F-99AC-E908630039F0}"/>
    <hyperlink ref="P8" r:id="rId50" display="69 Sandman" xr:uid="{2D44A4C1-7E74-4900-AB6E-E88681887330}"/>
    <hyperlink ref="P12" r:id="rId51" xr:uid="{95CA34B7-D397-4682-A771-95D627A03C57}"/>
    <hyperlink ref="P9" r:id="rId52" xr:uid="{4A8963F1-4FE0-43ED-BBC2-815CBD57D757}"/>
    <hyperlink ref="P7" r:id="rId53" xr:uid="{E0FABA9C-86A6-4813-9758-1B28D7739986}"/>
    <hyperlink ref="P5" r:id="rId54" xr:uid="{4D639BE0-2214-4450-BF29-7543A74DD208}"/>
    <hyperlink ref="P6" r:id="rId55" display="Feuillesmortes" xr:uid="{71A3BCE2-498D-497A-9E67-9B883A927BDD}"/>
    <hyperlink ref="P15" r:id="rId56" display="Feuillesmortes" xr:uid="{A53105F6-B10D-48B0-9791-1C464EA0CD9E}"/>
    <hyperlink ref="P14" r:id="rId57" xr:uid="{B3CED33B-B953-4032-87AE-F0683CF0DC54}"/>
    <hyperlink ref="P13" r:id="rId58" xr:uid="{ACEBA67C-C486-4568-9580-7C57D8D2F30D}"/>
    <hyperlink ref="O3" r:id="rId59" xr:uid="{F9360E1E-75F4-43A9-8E55-C5BC7949E897}"/>
    <hyperlink ref="O4" r:id="rId60" xr:uid="{8595B071-6BF9-4FC5-98C0-4CE12F08776E}"/>
    <hyperlink ref="O13" r:id="rId61" xr:uid="{8411582A-3E73-457F-875E-D782C1CE845F}"/>
    <hyperlink ref="O10" r:id="rId62" xr:uid="{CC69C5E9-D37C-42AC-B2EE-98FE67DA5E19}"/>
    <hyperlink ref="O15" r:id="rId63" xr:uid="{CFE37DC2-111D-479B-835B-CDA730B0F8ED}"/>
    <hyperlink ref="O11" r:id="rId64" xr:uid="{BDB787DE-51D5-496C-B025-6FED7E818FD0}"/>
    <hyperlink ref="O9" r:id="rId65" xr:uid="{80DE9509-EC40-4779-8A58-6CD341534949}"/>
    <hyperlink ref="O8" r:id="rId66" display="69 Sandman" xr:uid="{9C2CF765-47AF-426D-9B64-B27CB7BB45BA}"/>
    <hyperlink ref="O5" r:id="rId67" xr:uid="{9FBC4041-7A4F-44D2-88F7-A387C6AD2DE6}"/>
    <hyperlink ref="O14" r:id="rId68" xr:uid="{4DBA64C5-A294-4849-A878-2C50F8CAFB95}"/>
    <hyperlink ref="O12" r:id="rId69" xr:uid="{005C601E-2890-40B5-8558-16AD589DB139}"/>
    <hyperlink ref="O6" r:id="rId70" xr:uid="{2AA86073-726E-4B1C-9B83-77DC79C33ADF}"/>
    <hyperlink ref="O7" r:id="rId71" xr:uid="{263D4053-0DDD-4A3E-8897-1DD04E15D37F}"/>
    <hyperlink ref="N10" r:id="rId72" xr:uid="{B5C7BC3B-06A6-45AE-9207-AEACD45E1799}"/>
    <hyperlink ref="N11" r:id="rId73" xr:uid="{C12C0808-28D5-4245-90E4-F175C44BB9E3}"/>
    <hyperlink ref="N9" r:id="rId74" xr:uid="{55EA706A-3744-4CE2-9F6B-471C0EB07483}"/>
    <hyperlink ref="N3:N4" r:id="rId75" display="noundog" xr:uid="{10327B32-8882-4AA3-BA4E-C676B35D6740}"/>
    <hyperlink ref="N8" r:id="rId76" display="69 Sandman" xr:uid="{AC2B6108-083D-494A-B002-EB0429A12A12}"/>
    <hyperlink ref="N14" r:id="rId77" display="Feuillesmortes" xr:uid="{07431C8C-0479-47CE-AE56-1D5FAB904B32}"/>
    <hyperlink ref="N12" r:id="rId78" xr:uid="{D3DEDEB1-11BF-4339-854A-E90898CC337B}"/>
    <hyperlink ref="N6" r:id="rId79" xr:uid="{0336E27C-73A8-4AEC-9CC0-B0DBB71AA5F4}"/>
    <hyperlink ref="N5" r:id="rId80" xr:uid="{1BD3C664-18FA-4E38-A75A-E71EECC47E17}"/>
    <hyperlink ref="N13" r:id="rId81" xr:uid="{A1BDCA51-ADE8-4112-9E6D-A6B21ADB5F07}"/>
    <hyperlink ref="N15" r:id="rId82" xr:uid="{3CAA00C7-A98C-49B2-BE29-F9E24DCB07D9}"/>
    <hyperlink ref="N7" r:id="rId83" xr:uid="{8F604AED-69ED-4D28-88FA-F007E25D4152}"/>
    <hyperlink ref="M14" r:id="rId84" display="Feuillesmortes" xr:uid="{CA3ABC82-08C0-46AF-BFFA-A9E5C3E80718}"/>
    <hyperlink ref="M13" r:id="rId85" xr:uid="{7E8E2CA1-F4C4-4404-BC42-E7AB9E04339C}"/>
    <hyperlink ref="M3:M4" r:id="rId86" display="noundog" xr:uid="{E026255A-DC25-4504-A0F1-47A50EAD51DC}"/>
    <hyperlink ref="M8" r:id="rId87" display="69 Sandman" xr:uid="{F250123E-516F-4D5A-B668-4AB148A71948}"/>
    <hyperlink ref="M11" r:id="rId88" xr:uid="{8361D33E-3D82-4726-9EF4-B9B935D17A68}"/>
    <hyperlink ref="M9" r:id="rId89" xr:uid="{B66BAD97-2E0A-42AD-BCDC-11F410280F90}"/>
    <hyperlink ref="M5" r:id="rId90" xr:uid="{9447743C-7F09-4165-B9D5-A548F0FF0724}"/>
    <hyperlink ref="M15" r:id="rId91" xr:uid="{DAB5D174-1FB6-4AEF-9A08-A61E539ABC09}"/>
    <hyperlink ref="M6" r:id="rId92" xr:uid="{54D27ADB-C158-4CC6-9A64-4300A6D5476A}"/>
    <hyperlink ref="M7" r:id="rId93" xr:uid="{D50DB209-9E6C-4400-85BB-046FB9F0A6D0}"/>
    <hyperlink ref="M12" r:id="rId94" xr:uid="{B4BE8156-2222-4EA1-BFD1-2597663E8EE3}"/>
    <hyperlink ref="M10" r:id="rId95" xr:uid="{70C670BB-E941-49AA-AF18-5669672F4C55}"/>
    <hyperlink ref="L14" r:id="rId96" display="Feuillesmortes" xr:uid="{8096D132-E060-430D-8FBD-A153648DDD3F}"/>
    <hyperlink ref="L9" r:id="rId97" xr:uid="{BF9FC345-C3BF-4A3B-BA94-3146793AFB81}"/>
    <hyperlink ref="L13" r:id="rId98" xr:uid="{7C364C6E-4844-414F-812E-86B9688D199D}"/>
    <hyperlink ref="L3" r:id="rId99" xr:uid="{751B062A-2024-4C68-AC21-036C2FC475C2}"/>
    <hyperlink ref="L4" r:id="rId100" xr:uid="{9CEF33E5-3FFC-42ED-85BB-CF4DDF46F63B}"/>
    <hyperlink ref="L11" r:id="rId101" xr:uid="{550BB74E-4C75-457A-B68B-B9635ADB26ED}"/>
    <hyperlink ref="L12" r:id="rId102" xr:uid="{D218F65D-0834-4B48-A053-8A5C2263B030}"/>
    <hyperlink ref="L7" r:id="rId103" xr:uid="{6DF01679-37EE-43EE-A3A9-0BB3686B9C1F}"/>
    <hyperlink ref="L6" r:id="rId104" xr:uid="{ACF069DA-9476-4B19-9375-45BF54F755B5}"/>
    <hyperlink ref="L5" r:id="rId105" xr:uid="{06475C3C-38FE-4E74-92A9-A180305CA2E2}"/>
    <hyperlink ref="L8" r:id="rId106" display="69 Sandman" xr:uid="{90976750-2319-46C4-B706-211176C46F91}"/>
    <hyperlink ref="L15" r:id="rId107" xr:uid="{D13CBCBD-6CEA-475C-8A24-BFDF81444220}"/>
    <hyperlink ref="L10" r:id="rId108" xr:uid="{51B0D846-CA01-4BBC-B055-4907BD4E37A4}"/>
    <hyperlink ref="V4" r:id="rId109" display="kerstin.dobrindt@outlook.de" xr:uid="{EC153C76-D9A1-4111-9262-C684BD34BF2C}"/>
    <hyperlink ref="V5" r:id="rId110" display="kerstin.dobrindt@outlook.de" xr:uid="{3A610D18-C0F1-40C4-B32A-E5B2477B73B8}"/>
    <hyperlink ref="V6" r:id="rId111" display="kerstin.dobrindt@outlook.de" xr:uid="{4D70DFD0-A65C-4D55-8C1A-612648AB9699}"/>
    <hyperlink ref="V7" r:id="rId112" display="kerstin.dobrindt@outlook.de" xr:uid="{070C0B87-19D4-42D3-995D-5D8394CA2F31}"/>
    <hyperlink ref="V8" r:id="rId113" display="kerstin.dobrindt@outlook.de" xr:uid="{2F21BAFB-DB02-499B-BDD6-61A96299FA7F}"/>
    <hyperlink ref="V9" r:id="rId114" display="kerstin.dobrindt@outlook.de" xr:uid="{EECBB7A9-168B-490B-A1CD-4D8CEC59947A}"/>
    <hyperlink ref="V10" r:id="rId115" display="kerstin.dobrindt@outlook.de" xr:uid="{0C079211-8893-42F6-A4B8-47FF6CAABBD2}"/>
    <hyperlink ref="V11" r:id="rId116" display="kerstin.dobrindt@outlook.de" xr:uid="{6B87B12F-8756-4374-837F-63330DA476CF}"/>
    <hyperlink ref="V12" r:id="rId117" display="kerstin.dobrindt@outlook.de" xr:uid="{2C4B576A-7DCE-4AAA-9208-2F9309053373}"/>
    <hyperlink ref="V13" r:id="rId118" display="kerstin.dobrindt@outlook.de" xr:uid="{D9B6E96F-AE18-48F4-933D-8B41A285FDEE}"/>
    <hyperlink ref="V14" r:id="rId119" display="kerstin.dobrindt@outlook.de" xr:uid="{EBA0F8F9-52E2-4C41-AEA1-9C848281188E}"/>
    <hyperlink ref="V15" r:id="rId120" display="kerstin.dobrindt@outlook.de" xr:uid="{B394FC07-0DB6-4473-87E4-2CCAC629263F}"/>
    <hyperlink ref="C9" r:id="rId121" display="feuillesmortes" xr:uid="{3F10714A-0CB5-4601-AD63-5F808F06E603}"/>
    <hyperlink ref="C14" r:id="rId122" display="feuillesmortes" xr:uid="{1F56C1C5-F8E0-4DBB-B961-E7C975257E07}"/>
    <hyperlink ref="K7" r:id="rId123" xr:uid="{686C9C91-441C-42A3-A7F0-06FB9142D77E}"/>
    <hyperlink ref="K6" r:id="rId124" xr:uid="{F68C56AF-27AC-4C48-BBEF-C7F43B68521C}"/>
    <hyperlink ref="K15" r:id="rId125" xr:uid="{99B3B66C-4EB1-41E2-9111-28E6D20F1B58}"/>
    <hyperlink ref="K9" r:id="rId126" xr:uid="{2F1894C0-B94D-4647-8505-455C549A595C}"/>
    <hyperlink ref="K5" r:id="rId127" xr:uid="{9E9EC457-9363-4299-98DD-A8C226DBC5BF}"/>
    <hyperlink ref="K14" r:id="rId128" display="Feuillesmortes" xr:uid="{217BB999-78CF-48E0-BD7B-93B176873A87}"/>
    <hyperlink ref="K8" r:id="rId129" display="69 Sandman" xr:uid="{C6A8BCCA-8E5B-45F9-9113-B46EF22AA992}"/>
    <hyperlink ref="K12" r:id="rId130" xr:uid="{D64C2334-F06F-4555-87DE-FB7DD6BBA6AC}"/>
    <hyperlink ref="K13" r:id="rId131" xr:uid="{42A21AF2-2FA6-4DCF-9F8A-C01C0BB40BD6}"/>
    <hyperlink ref="K3" r:id="rId132" xr:uid="{E75B0BE7-532D-4685-9228-896FD318C1C0}"/>
    <hyperlink ref="K4" r:id="rId133" xr:uid="{BE8EE191-B32C-4A2D-BF60-A63440413728}"/>
    <hyperlink ref="K10" r:id="rId134" xr:uid="{4A3DEA84-ED29-44AC-86D0-66B015E669F1}"/>
    <hyperlink ref="K11" r:id="rId135" xr:uid="{4A915279-84AB-4A8F-A389-0CDD2E0CA459}"/>
    <hyperlink ref="J3" r:id="rId136" display="http://www.dailygammon.com/bg/user/33060" xr:uid="{AAF2A2EF-7B33-4636-9E82-C8C3FD7248B4}"/>
    <hyperlink ref="J4" r:id="rId137" display="http://www.dailygammon.com/bg/user/22426" xr:uid="{67868465-432B-40BB-ABDD-DE6DC19CEC3E}"/>
    <hyperlink ref="J8" r:id="rId138" display="http://www.dailygammon.com/bg/user/27176" xr:uid="{82AE25C5-2300-411E-84A1-2D27556C10FA}"/>
    <hyperlink ref="J9" r:id="rId139" display="http://www.dailygammon.com/bg/user/21796" xr:uid="{A2664606-35D9-40F7-94B3-654B465E1DDF}"/>
    <hyperlink ref="J11" r:id="rId140" display="http://www.dailygammon.com/bg/user/28804" xr:uid="{EEB654BC-33ED-418E-B30F-2A669BC9D2BD}"/>
    <hyperlink ref="J13" r:id="rId141" display="http://www.dailygammon.com/bg/user/28804" xr:uid="{628A0182-82F0-4240-9F36-027965951234}"/>
    <hyperlink ref="J14" r:id="rId142" display="http://www.dailygammon.com/bg/user/32477" xr:uid="{930362AD-9A4F-4F7E-9113-D47EC7A244D9}"/>
    <hyperlink ref="J15" r:id="rId143" display="http://www.dailygammon.com/bg/user/24760" xr:uid="{EE7A1AF6-853F-444A-8B12-BDCACE61C045}"/>
    <hyperlink ref="I8" r:id="rId144" display="http://www.dailygammon.com/bg/user/27176" xr:uid="{59A28DEB-D69F-490F-9DE8-766C12FE75AD}"/>
    <hyperlink ref="I3" r:id="rId145" display="http://www.dailygammon.com/bg/user/33060" xr:uid="{4D49C4DF-D046-40B9-9191-DF7152883290}"/>
    <hyperlink ref="I6" r:id="rId146" display="http://www.dailygammon.com/bg/user/33060" xr:uid="{87F6D50D-52A8-4139-B5AA-6800D9D65B13}"/>
    <hyperlink ref="I12" r:id="rId147" display="http://www.dailygammon.com/bg/user/21796" xr:uid="{80FD3BD6-617F-4AD6-BB2C-FFE56007FAB8}"/>
    <hyperlink ref="I13" r:id="rId148" display="http://www.dailygammon.com/bg/user/28804" xr:uid="{4D99BBC7-B4F7-4F7E-B138-3C373F6E3FC1}"/>
    <hyperlink ref="I4" r:id="rId149" display="http://www.dailygammon.com/bg/user/24760" xr:uid="{9A0EFC06-25C3-4499-BD4E-440AA9B9F1C1}"/>
    <hyperlink ref="I14" r:id="rId150" display="http://www.dailygammon.com/bg/user/32477" xr:uid="{C7794375-4906-4A6B-AA49-EA79870D2AA4}"/>
    <hyperlink ref="I11" r:id="rId151" xr:uid="{36F40CC4-D7B2-491E-9811-3E022564AE79}"/>
    <hyperlink ref="I15" r:id="rId152" display="http://www.dailygammon.com/bg/user/28804" xr:uid="{BD348061-6690-41A9-874B-8377EFD340E6}"/>
    <hyperlink ref="H4" r:id="rId153" display="http://www.dailygammon.com/bg/user/24760" xr:uid="{7A986446-C0F3-4AE9-B13C-007AACAD83C2}"/>
    <hyperlink ref="H12" r:id="rId154" display="http://www.dailygammon.com/bg/user/21796" xr:uid="{9BA9F7D7-F608-4CAD-87FA-596DDA8EAADA}"/>
    <hyperlink ref="I10" r:id="rId155" display="http://www.dailygammon.com/bg/user/22426" xr:uid="{778CF5DA-11A5-4819-B6A2-BF65D1C087CD}"/>
    <hyperlink ref="H10" r:id="rId156" display="http://www.dailygammon.com/bg/user/22426" xr:uid="{0A94EDAE-EDF1-4A49-AF88-6D59F3E08090}"/>
    <hyperlink ref="H11" r:id="rId157" display="http://www.dailygammon.com/bg/user/28804" xr:uid="{CABE7DDE-7FEB-4C49-8F5A-0EB2B8846869}"/>
    <hyperlink ref="H13" r:id="rId158" display="http://www.dailygammon.com/bg/user/28804" xr:uid="{381BD223-54A3-48CB-AA05-DF20F628BB52}"/>
    <hyperlink ref="H8" r:id="rId159" display="http://www.dailygammon.com/bg/user/27176" xr:uid="{2234A149-0E23-4C3A-87DC-B9F12C6646D7}"/>
    <hyperlink ref="H3" r:id="rId160" display="http://www.dailygammon.com/bg/user/33060" xr:uid="{C323E3ED-C79D-49E4-8EBD-CD4E321C3001}"/>
    <hyperlink ref="H6" r:id="rId161" display="http://www.dailygammon.com/bg/user/33060" xr:uid="{1F710AF7-11C9-44C8-B26F-C1436B4ED9EE}"/>
    <hyperlink ref="H15" r:id="rId162" display="http://www.dailygammon.com/bg/user/28804" xr:uid="{8E444F02-532C-4C14-860C-EFC197B37CBD}"/>
    <hyperlink ref="H14" r:id="rId163" display="http://www.dailygammon.com/bg/user/32477" xr:uid="{FF804835-14D8-4153-AF56-A8CD43A092AD}"/>
    <hyperlink ref="G8" r:id="rId164" display="http://www.dailygammon.com/bg/user/27176" xr:uid="{BE200206-1AAA-4653-8A9E-A393C9BAD3AE}"/>
    <hyperlink ref="G10" r:id="rId165" display="http://www.dailygammon.com/bg/user/21796" xr:uid="{38C00461-4D4A-472A-9D63-EE6AAFBA42F9}"/>
    <hyperlink ref="G13" r:id="rId166" display="http://www.dailygammon.com/bg/user/39676" xr:uid="{CAEB8A44-68E5-4F38-9F8A-AAFEE46E1D7F}"/>
    <hyperlink ref="G3" r:id="rId167" display="http://www.dailygammon.com/bg/user/33060" xr:uid="{15404538-3B76-48C7-9A09-F82BF1DD7F71}"/>
    <hyperlink ref="G11" r:id="rId168" display="http://www.dailygammon.com/bg/user/33060" xr:uid="{43260BB2-8277-4429-8C6E-10C4DFCFFF29}"/>
    <hyperlink ref="G4" r:id="rId169" xr:uid="{5F9F6FAE-EB0A-412E-A54D-A1A31BC8D667}"/>
    <hyperlink ref="G12" r:id="rId170" xr:uid="{B14F1AC2-583F-4BF3-BFF1-C138AB894FF7}"/>
    <hyperlink ref="G14" r:id="rId171" display="http://www.dailygammon.com/bg/user/28804" xr:uid="{3BD109D2-A2FD-4061-9CC3-025E0D515165}"/>
    <hyperlink ref="G15" r:id="rId172" xr:uid="{FAF5AF28-C9FC-4889-8C1A-CA3D7959CE8C}"/>
    <hyperlink ref="G6" r:id="rId173" xr:uid="{B8A2D3B5-8D92-4D01-AD22-82A68A622A48}"/>
    <hyperlink ref="F10" r:id="rId174" display="http://www.dailygammon.com/bg/user/28804" xr:uid="{863CD81A-DE1E-4F7B-94FA-8ED67A8F180C}"/>
    <hyperlink ref="F13" r:id="rId175" display="http://www.dailygammon.com/bg/user/39676" xr:uid="{E19CE565-0E50-46A5-8216-8CB561CEF73B}"/>
    <hyperlink ref="F12" r:id="rId176" xr:uid="{D0ECD5E7-D270-40EF-A3B1-13814A4442C9}"/>
    <hyperlink ref="F9" r:id="rId177" display="Izzak" xr:uid="{6243013E-B174-445E-B94A-6ABBFB1ABEBF}"/>
    <hyperlink ref="F8" r:id="rId178" display="http://www.dailygammon.com/bg/user/27176" xr:uid="{49B043CC-7FF9-4CA3-B542-E7F285C5DCBE}"/>
    <hyperlink ref="F14" r:id="rId179" display="http://www.dailygammon.com/bg/user/28804" xr:uid="{20A0D5E5-7216-4204-ABD8-C9B59E08F642}"/>
    <hyperlink ref="F15" r:id="rId180" display="http://www.dailygammon.com/bg/user/21796" xr:uid="{7C28E93D-171D-4C31-85C4-FE37155F479D}"/>
    <hyperlink ref="F3" r:id="rId181" display="http://www.dailygammon.com/bg/user/33060" xr:uid="{08474B51-DFF5-495F-8CF3-8209708F6130}"/>
    <hyperlink ref="F6" r:id="rId182" display="http://www.dailygammon.com/bg/user/33060" xr:uid="{60F351AD-FCBC-4D5B-9728-EBADA01A8C27}"/>
    <hyperlink ref="F4" r:id="rId183" display="http://www.dailygammon.com/bg/user/39676" xr:uid="{4DE5EC79-BD07-4A43-B852-2330E221B1AF}"/>
    <hyperlink ref="F7" r:id="rId184" xr:uid="{5C238FFC-5152-4A03-BFD6-2AF3B09D3473}"/>
    <hyperlink ref="B8" r:id="rId185" display="http://www.dailygammon.com/bg/user/27176" xr:uid="{1064F218-57CC-47F6-BA24-8C8B682BA9B5}"/>
    <hyperlink ref="B3" r:id="rId186" display="http://www.dailygammon.com/bg/user/33060" xr:uid="{F855DC01-9C55-4A16-B8A1-51EB3FEB28B4}"/>
    <hyperlink ref="B6" r:id="rId187" display="http://www.dailygammon.com/bg/user/33060" xr:uid="{956C0E52-A59F-4D75-B3BD-19A9BF3D65AD}"/>
    <hyperlink ref="B14" r:id="rId188" display="http://www.dailygammon.com/bg/user/28804" xr:uid="{0E0D7DDA-0E77-4872-9985-499AC4CCD4ED}"/>
    <hyperlink ref="B15" r:id="rId189" display="http://www.dailygammon.com/bg/user/21796" xr:uid="{78C3CC74-E552-4BD8-B9DC-3E934FACB808}"/>
    <hyperlink ref="B4" r:id="rId190" display="http://www.dailygammon.com/bg/user/39676" xr:uid="{62366AE9-8200-40A2-9637-FD89FC17BC49}"/>
    <hyperlink ref="B13" r:id="rId191" display="http://www.dailygammon.com/bg/user/39676" xr:uid="{4BE9D3AB-0379-440E-85D2-B095E88A6CF6}"/>
    <hyperlink ref="B7" r:id="rId192" display="Izzak" xr:uid="{7573C620-F5F1-4F77-834E-54DC747801AC}"/>
    <hyperlink ref="B12" r:id="rId193" display="http://www.dailygammon.com/bg/user/22426" xr:uid="{072D21EE-49CD-4370-B1F0-3A4D2732FD39}"/>
    <hyperlink ref="B9" r:id="rId194" display="http://www.dailygammon.com/bg/user/28804" xr:uid="{AB1CFE16-9D8B-486A-8559-A71BA9EE0FA6}"/>
  </hyperlinks>
  <pageMargins left="0.7" right="0.7" top="0.78740157499999996" bottom="0.78740157499999996" header="0.3" footer="0.3"/>
  <pageSetup paperSize="9" orientation="portrait" r:id="rId19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07EE-E5D0-466C-AC82-A44C1BB9DA53}">
  <sheetPr codeName="Tabelle12"/>
  <dimension ref="A1:C19"/>
  <sheetViews>
    <sheetView workbookViewId="0">
      <selection activeCell="B13" sqref="B13"/>
    </sheetView>
  </sheetViews>
  <sheetFormatPr baseColWidth="10" defaultRowHeight="14.5" x14ac:dyDescent="0.35"/>
  <cols>
    <col min="2" max="2" width="96.54296875" bestFit="1" customWidth="1"/>
  </cols>
  <sheetData>
    <row r="1" spans="1:3" x14ac:dyDescent="0.35">
      <c r="A1" t="s">
        <v>259</v>
      </c>
      <c r="B1" t="s">
        <v>758</v>
      </c>
    </row>
    <row r="2" spans="1:3" x14ac:dyDescent="0.35">
      <c r="A2" t="s">
        <v>283</v>
      </c>
      <c r="B2" s="1" t="s">
        <v>757</v>
      </c>
    </row>
    <row r="3" spans="1:3" x14ac:dyDescent="0.35">
      <c r="A3" t="s">
        <v>284</v>
      </c>
      <c r="B3" s="1" t="s">
        <v>756</v>
      </c>
    </row>
    <row r="4" spans="1:3" x14ac:dyDescent="0.35">
      <c r="A4" t="s">
        <v>732</v>
      </c>
      <c r="B4" s="1" t="s">
        <v>755</v>
      </c>
    </row>
    <row r="5" spans="1:3" x14ac:dyDescent="0.35">
      <c r="A5" t="s">
        <v>287</v>
      </c>
      <c r="B5" s="1" t="s">
        <v>754</v>
      </c>
    </row>
    <row r="6" spans="1:3" x14ac:dyDescent="0.35">
      <c r="A6" t="s">
        <v>733</v>
      </c>
      <c r="B6" s="1" t="s">
        <v>753</v>
      </c>
    </row>
    <row r="7" spans="1:3" x14ac:dyDescent="0.35">
      <c r="A7" t="s">
        <v>734</v>
      </c>
      <c r="B7" s="1" t="s">
        <v>752</v>
      </c>
    </row>
    <row r="8" spans="1:3" x14ac:dyDescent="0.35">
      <c r="A8" t="s">
        <v>489</v>
      </c>
      <c r="B8" s="1" t="s">
        <v>751</v>
      </c>
    </row>
    <row r="9" spans="1:3" x14ac:dyDescent="0.35">
      <c r="A9" t="s">
        <v>490</v>
      </c>
      <c r="B9" s="1" t="s">
        <v>750</v>
      </c>
    </row>
    <row r="10" spans="1:3" x14ac:dyDescent="0.35">
      <c r="A10" t="s">
        <v>735</v>
      </c>
      <c r="B10" s="1" t="s">
        <v>749</v>
      </c>
    </row>
    <row r="11" spans="1:3" x14ac:dyDescent="0.35">
      <c r="A11" t="s">
        <v>736</v>
      </c>
      <c r="B11" s="1" t="s">
        <v>748</v>
      </c>
    </row>
    <row r="12" spans="1:3" x14ac:dyDescent="0.35">
      <c r="A12" t="s">
        <v>491</v>
      </c>
      <c r="B12" s="1" t="s">
        <v>826</v>
      </c>
    </row>
    <row r="13" spans="1:3" x14ac:dyDescent="0.35">
      <c r="A13" t="s">
        <v>492</v>
      </c>
      <c r="B13" s="1" t="s">
        <v>827</v>
      </c>
    </row>
    <row r="14" spans="1:3" x14ac:dyDescent="0.35">
      <c r="A14" t="s">
        <v>494</v>
      </c>
      <c r="B14" s="1" t="s">
        <v>851</v>
      </c>
      <c r="C14" s="1"/>
    </row>
    <row r="15" spans="1:3" x14ac:dyDescent="0.35">
      <c r="B15" s="1"/>
    </row>
    <row r="16" spans="1:3" x14ac:dyDescent="0.35">
      <c r="B16" s="1"/>
    </row>
    <row r="17" spans="2:2" x14ac:dyDescent="0.35">
      <c r="B17" s="1"/>
    </row>
    <row r="18" spans="2:2" x14ac:dyDescent="0.35">
      <c r="B18" s="1"/>
    </row>
    <row r="19" spans="2:2" x14ac:dyDescent="0.35">
      <c r="B19" s="1"/>
    </row>
  </sheetData>
  <hyperlinks>
    <hyperlink ref="B2" r:id="rId1" xr:uid="{F6D04D62-EBAB-47E6-968A-2DAF498EB585}"/>
    <hyperlink ref="B3" r:id="rId2" xr:uid="{84B6C2DF-5C43-4FF2-8C87-90EA0D591524}"/>
    <hyperlink ref="B4" r:id="rId3" xr:uid="{DBDBA166-AAB9-43E4-B05D-8A890D5592DA}"/>
    <hyperlink ref="B5" r:id="rId4" xr:uid="{4A5ECB7C-5FA3-4678-8A44-90A14DC4B851}"/>
    <hyperlink ref="B6" r:id="rId5" xr:uid="{24A872E2-AD3C-423B-82F9-324A42E19D3C}"/>
    <hyperlink ref="B7" r:id="rId6" xr:uid="{947C1425-7BFB-446A-8849-FA0A143AE6F9}"/>
    <hyperlink ref="B8" r:id="rId7" xr:uid="{D8E89111-CBFF-4FB3-9588-6A88508AB1AB}"/>
    <hyperlink ref="B9" r:id="rId8" xr:uid="{B231F06D-E2EE-4C55-953D-CFD60E9033CD}"/>
    <hyperlink ref="B10" r:id="rId9" xr:uid="{B4142D05-30FC-472C-9773-6A7553BB1DE8}"/>
    <hyperlink ref="B11" r:id="rId10" xr:uid="{BFA89580-F49E-464D-B75E-B162247EAC83}"/>
    <hyperlink ref="B12" r:id="rId11" xr:uid="{061F07D6-69FD-4149-81CD-B6A07C9EAE3A}"/>
    <hyperlink ref="B13" r:id="rId12" xr:uid="{7AB07E6E-D2D3-484A-9767-4B57250CE380}"/>
    <hyperlink ref="B14" r:id="rId13" xr:uid="{F7E56194-AFB9-41A4-A317-E288554C0DAC}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1D07-DBDB-4FB6-AA29-0B37B31FEE56}">
  <sheetPr codeName="Tabelle6"/>
  <dimension ref="A1:I7"/>
  <sheetViews>
    <sheetView workbookViewId="0">
      <selection activeCell="E27" sqref="E27"/>
    </sheetView>
  </sheetViews>
  <sheetFormatPr baseColWidth="10" defaultColWidth="11.54296875" defaultRowHeight="14.5" x14ac:dyDescent="0.35"/>
  <cols>
    <col min="1" max="1" width="11.36328125" style="18" bestFit="1" customWidth="1"/>
    <col min="2" max="2" width="10.6328125" style="18" bestFit="1" customWidth="1"/>
    <col min="3" max="3" width="14.54296875" style="18" bestFit="1" customWidth="1"/>
    <col min="4" max="4" width="8.08984375" style="18" bestFit="1" customWidth="1"/>
    <col min="5" max="5" width="8.90625" style="18" bestFit="1" customWidth="1"/>
    <col min="6" max="6" width="10.08984375" style="18" bestFit="1" customWidth="1"/>
    <col min="7" max="7" width="24.36328125" style="18" bestFit="1" customWidth="1"/>
    <col min="8" max="8" width="43.90625" style="18" bestFit="1" customWidth="1"/>
    <col min="9" max="9" width="18" style="18" bestFit="1" customWidth="1"/>
    <col min="10" max="16384" width="11.54296875" style="18"/>
  </cols>
  <sheetData>
    <row r="1" spans="1:9" ht="61" x14ac:dyDescent="0.35">
      <c r="A1" s="5" t="s">
        <v>615</v>
      </c>
      <c r="B1" s="5" t="s">
        <v>619</v>
      </c>
      <c r="C1" s="5" t="s">
        <v>4</v>
      </c>
      <c r="D1" s="5" t="s">
        <v>370</v>
      </c>
      <c r="E1" s="5" t="s">
        <v>257</v>
      </c>
      <c r="F1" s="5" t="s">
        <v>258</v>
      </c>
      <c r="G1" s="5" t="s">
        <v>5</v>
      </c>
      <c r="H1" s="5" t="s">
        <v>660</v>
      </c>
      <c r="I1" s="5" t="s">
        <v>661</v>
      </c>
    </row>
    <row r="2" spans="1:9" x14ac:dyDescent="0.35">
      <c r="A2" s="19">
        <v>21</v>
      </c>
      <c r="B2" s="19" t="s">
        <v>491</v>
      </c>
      <c r="C2" s="3" t="s">
        <v>676</v>
      </c>
      <c r="D2" s="3">
        <v>15774</v>
      </c>
      <c r="E2" s="2" t="s">
        <v>75</v>
      </c>
      <c r="F2" s="2" t="s">
        <v>677</v>
      </c>
      <c r="G2" s="3" t="s">
        <v>678</v>
      </c>
      <c r="H2" s="18" t="s">
        <v>731</v>
      </c>
      <c r="I2" s="18" t="s">
        <v>663</v>
      </c>
    </row>
    <row r="3" spans="1:9" x14ac:dyDescent="0.35">
      <c r="A3" s="19">
        <v>21</v>
      </c>
      <c r="B3" s="19" t="s">
        <v>491</v>
      </c>
      <c r="C3" s="3" t="s">
        <v>692</v>
      </c>
      <c r="D3" s="3">
        <v>8801</v>
      </c>
      <c r="E3" s="2" t="s">
        <v>691</v>
      </c>
      <c r="F3" s="2"/>
      <c r="G3" s="3" t="s">
        <v>693</v>
      </c>
      <c r="H3" s="18" t="s">
        <v>731</v>
      </c>
      <c r="I3" s="18" t="s">
        <v>663</v>
      </c>
    </row>
    <row r="4" spans="1:9" x14ac:dyDescent="0.35">
      <c r="A4" s="19">
        <v>21</v>
      </c>
      <c r="B4" s="19" t="s">
        <v>492</v>
      </c>
      <c r="C4" s="3" t="s">
        <v>695</v>
      </c>
      <c r="D4" s="3">
        <v>36594</v>
      </c>
      <c r="E4" s="2" t="s">
        <v>698</v>
      </c>
      <c r="F4" s="2"/>
      <c r="G4" s="3" t="s">
        <v>697</v>
      </c>
      <c r="H4" s="18" t="s">
        <v>731</v>
      </c>
      <c r="I4" s="18" t="s">
        <v>663</v>
      </c>
    </row>
    <row r="5" spans="1:9" x14ac:dyDescent="0.35">
      <c r="A5" s="19">
        <v>21</v>
      </c>
      <c r="B5" s="19" t="s">
        <v>494</v>
      </c>
      <c r="C5" s="3" t="s">
        <v>720</v>
      </c>
      <c r="D5" s="3">
        <v>38369</v>
      </c>
      <c r="E5" s="2"/>
      <c r="F5" s="2"/>
      <c r="G5" s="3" t="s">
        <v>721</v>
      </c>
      <c r="H5" s="18" t="s">
        <v>731</v>
      </c>
      <c r="I5" s="18" t="s">
        <v>663</v>
      </c>
    </row>
    <row r="6" spans="1:9" x14ac:dyDescent="0.35">
      <c r="A6" s="19">
        <v>21</v>
      </c>
      <c r="B6" s="19" t="s">
        <v>492</v>
      </c>
      <c r="C6" s="3" t="s">
        <v>725</v>
      </c>
      <c r="D6" s="3">
        <v>16354</v>
      </c>
      <c r="E6" s="2" t="s">
        <v>724</v>
      </c>
      <c r="F6" s="2"/>
      <c r="G6" s="3" t="s">
        <v>723</v>
      </c>
      <c r="H6" s="18" t="s">
        <v>731</v>
      </c>
      <c r="I6" s="18" t="s">
        <v>663</v>
      </c>
    </row>
    <row r="7" spans="1:9" x14ac:dyDescent="0.35">
      <c r="A7" s="19">
        <v>21</v>
      </c>
      <c r="B7" s="19" t="s">
        <v>494</v>
      </c>
      <c r="C7" s="24" t="s">
        <v>737</v>
      </c>
      <c r="D7" s="20">
        <v>38806</v>
      </c>
      <c r="E7" s="18" t="s">
        <v>738</v>
      </c>
      <c r="G7" s="24" t="s">
        <v>739</v>
      </c>
      <c r="H7" s="18" t="s">
        <v>743</v>
      </c>
    </row>
  </sheetData>
  <hyperlinks>
    <hyperlink ref="C2" r:id="rId1" xr:uid="{9DB78012-58F0-4698-A640-94583DDC596B}"/>
    <hyperlink ref="D2" r:id="rId2" display="15774" xr:uid="{003B232D-AD43-412B-B71F-8EC9B1A6E78C}"/>
    <hyperlink ref="G2" r:id="rId3" xr:uid="{EE61CC83-D513-492F-8F32-09E4680033EB}"/>
    <hyperlink ref="C3" r:id="rId4" xr:uid="{38806C24-6AEE-41FB-B06C-34E3E99A6F98}"/>
    <hyperlink ref="D3" r:id="rId5" display="8801" xr:uid="{21125A3D-6C01-44C9-845F-C2552881E6E1}"/>
    <hyperlink ref="G3" r:id="rId6" xr:uid="{68D0429E-79D3-446A-93DB-97ADE77AF94B}"/>
    <hyperlink ref="D5" r:id="rId7" display="http://www.dailygammon.com/bg/user/38369" xr:uid="{E8594E72-2767-4FDB-928A-2DBFC7F22325}"/>
    <hyperlink ref="C4" r:id="rId8" xr:uid="{F46BD4A8-D581-4738-A840-27AF9F94F692}"/>
    <hyperlink ref="D4" r:id="rId9" display="36594" xr:uid="{E76F233E-0A2F-4D12-A2C9-B2A841763AF0}"/>
    <hyperlink ref="G4" r:id="rId10" xr:uid="{ED1D1A84-0361-48ED-A269-F8D39A4D6DDF}"/>
    <hyperlink ref="C5" r:id="rId11" xr:uid="{B104BF86-4502-4597-8C5F-786E8E248FF5}"/>
    <hyperlink ref="G5" r:id="rId12" xr:uid="{517B332A-39FF-49CC-8C4B-00AE5A11DDB5}"/>
    <hyperlink ref="G6" r:id="rId13" xr:uid="{798532E0-9624-4289-9C02-3FF69D2C0626}"/>
    <hyperlink ref="C6" r:id="rId14" xr:uid="{C6E61CAF-DBD5-476B-B3E3-331E0361756B}"/>
    <hyperlink ref="D6" r:id="rId15" display="16354" xr:uid="{285A52E7-90C7-453F-866D-815770ED5A2C}"/>
    <hyperlink ref="C7" r:id="rId16" xr:uid="{39002C92-EFB0-4F2D-BF9C-2F351D9754BA}"/>
    <hyperlink ref="D7" r:id="rId17" display="38806" xr:uid="{49ADD379-7AFC-4ACC-A587-0E592A80B995}"/>
    <hyperlink ref="G7" r:id="rId18" xr:uid="{E97BDBF3-ECF0-4048-9A29-A9FB57C8896C}"/>
  </hyperlinks>
  <pageMargins left="0.7" right="0.7" top="0.78740157499999996" bottom="0.78740157499999996" header="0.3" footer="0.3"/>
  <pageSetup paperSize="9" orientation="portrait" r:id="rId1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8B243-382B-4447-9EFB-FC663BAAEB02}">
  <sheetPr codeName="Tabelle4" filterMode="1"/>
  <dimension ref="A1:G194"/>
  <sheetViews>
    <sheetView workbookViewId="0">
      <pane ySplit="5" topLeftCell="A88" activePane="bottomLeft" state="frozen"/>
      <selection activeCell="B185" sqref="B185"/>
      <selection pane="bottomLeft" activeCell="D107" sqref="D106:D107"/>
    </sheetView>
  </sheetViews>
  <sheetFormatPr baseColWidth="10" defaultRowHeight="14.5" x14ac:dyDescent="0.35"/>
  <cols>
    <col min="1" max="1" width="23.08984375" bestFit="1" customWidth="1"/>
    <col min="2" max="2" width="18.453125" bestFit="1" customWidth="1"/>
    <col min="3" max="3" width="10.6328125" bestFit="1" customWidth="1"/>
    <col min="4" max="4" width="10.6328125" customWidth="1"/>
    <col min="5" max="5" width="130.90625" bestFit="1" customWidth="1"/>
  </cols>
  <sheetData>
    <row r="1" spans="1:5" x14ac:dyDescent="0.35">
      <c r="A1" s="55" t="s">
        <v>915</v>
      </c>
      <c r="B1" s="55"/>
      <c r="C1" s="55"/>
      <c r="D1" s="55"/>
      <c r="E1" s="13" t="s">
        <v>616</v>
      </c>
    </row>
    <row r="2" spans="1:5" x14ac:dyDescent="0.35">
      <c r="A2" s="55"/>
      <c r="B2" s="55"/>
      <c r="C2" s="55"/>
      <c r="D2" s="55"/>
      <c r="E2" t="str">
        <f>"set ts=%date:~-4%-%date:~-7,2%-%date:~-10,2%-%time:~-11,2%%time:~-8,2%"</f>
        <v>set ts=%date:~-4%-%date:~-7,2%-%date:~-10,2%-%time:~-11,2%%time:~-8,2%</v>
      </c>
    </row>
    <row r="3" spans="1:5" ht="28.25" customHeight="1" x14ac:dyDescent="0.35">
      <c r="A3" s="55"/>
      <c r="B3" s="55"/>
      <c r="C3" s="55"/>
      <c r="D3" s="55"/>
      <c r="E3" t="str">
        <f ca="1">"::set ts=" &amp; TEXT(NOW(),"JJJJ-MM-TT-hhmm")</f>
        <v>::set ts=2025-08-08-0348</v>
      </c>
    </row>
    <row r="4" spans="1:5" x14ac:dyDescent="0.35">
      <c r="E4" t="str">
        <f>"set d=%ts%\profiles"</f>
        <v>set d=%ts%\profiles</v>
      </c>
    </row>
    <row r="5" spans="1:5" x14ac:dyDescent="0.35">
      <c r="A5" t="str">
        <f>Members!D1</f>
        <v>current group</v>
      </c>
      <c r="B5" t="str">
        <f>Members!J1</f>
        <v>DG-Nick</v>
      </c>
      <c r="C5" t="str">
        <f>Members!K1</f>
        <v>Player-ID</v>
      </c>
      <c r="D5" t="str">
        <f>Members!H1</f>
        <v>Finished</v>
      </c>
      <c r="E5" s="17" t="str">
        <f>"mkdir %d%"</f>
        <v>mkdir %d%</v>
      </c>
    </row>
    <row r="6" spans="1:5" x14ac:dyDescent="0.35">
      <c r="A6" t="str">
        <f>Members!D2</f>
        <v>1a</v>
      </c>
      <c r="B6" t="str">
        <f>Members!J2</f>
        <v>API</v>
      </c>
      <c r="C6">
        <f>Members!K2</f>
        <v>8719</v>
      </c>
      <c r="D6">
        <f>Members!H2</f>
        <v>0</v>
      </c>
      <c r="E6" t="str">
        <f>"mkdir %d%\" &amp; A6 &amp; " 2&gt;NUL &amp; echo Loading " &amp; A6 &amp; " - " &amp; B6 &amp; IF(D6&lt;&gt;"x",""," (finished)") &amp; " &amp; curl --stderr stderr.log -s -S -H ""Cookie: USERID=36964; PASSWORD=LQrxFeMoLxg3."" ""http://dailygammon.com/bg/user/" &amp; C6 &amp; "?active=1&amp;finished=1&amp;sort_win_loss=0&amp;days_to_view=150"" &gt;%d%\" &amp; A6 &amp; "\" &amp; IF(D6&lt;&gt;"x","","finished_") &amp; "%ts%_" &amp; A6 &amp; "_" &amp; SUBSTITUTE(B6," ","_") &amp; "-" &amp; C6 &amp; ".html"</f>
        <v>mkdir %d%\1a 2&gt;NUL &amp; echo Loading 1a - API &amp; curl --stderr stderr.log -s -S -H "Cookie: USERID=36964; PASSWORD=LQrxFeMoLxg3." "http://dailygammon.com/bg/user/8719?active=1&amp;finished=1&amp;sort_win_loss=0&amp;days_to_view=150" &gt;%d%\1a\%ts%_1a_API-8719.html</v>
      </c>
    </row>
    <row r="7" spans="1:5" x14ac:dyDescent="0.35">
      <c r="A7" t="str">
        <f>Members!D3</f>
        <v>1a</v>
      </c>
      <c r="B7" t="str">
        <f>Members!J3</f>
        <v>hcc1670</v>
      </c>
      <c r="C7">
        <f>Members!K3</f>
        <v>31655</v>
      </c>
      <c r="D7" t="str">
        <f>Members!H3</f>
        <v>x</v>
      </c>
      <c r="E7" t="str">
        <f t="shared" ref="E7:E70" si="0">"mkdir %d%\" &amp; A7 &amp; " 2&gt;NUL &amp; echo Loading " &amp; A7 &amp; " - " &amp; B7 &amp; IF(D7&lt;&gt;"x",""," (finished)") &amp; " &amp; curl --stderr stderr.log -s -S -H ""Cookie: USERID=36964; PASSWORD=LQrxFeMoLxg3."" ""http://dailygammon.com/bg/user/" &amp; C7 &amp; "?active=1&amp;finished=1&amp;sort_win_loss=0&amp;days_to_view=150"" &gt;%d%\" &amp; A7 &amp; "\" &amp; IF(D7&lt;&gt;"x","","finished_") &amp; "%ts%_" &amp; A7 &amp; "_" &amp; SUBSTITUTE(B7," ","_") &amp; "-" &amp; C7 &amp; ".html"</f>
        <v>mkdir %d%\1a 2&gt;NUL &amp; echo Loading 1a - hcc1670 (finished) &amp; curl --stderr stderr.log -s -S -H "Cookie: USERID=36964; PASSWORD=LQrxFeMoLxg3." "http://dailygammon.com/bg/user/31655?active=1&amp;finished=1&amp;sort_win_loss=0&amp;days_to_view=150" &gt;%d%\1a\finished_%ts%_1a_hcc1670-31655.html</v>
      </c>
    </row>
    <row r="8" spans="1:5" x14ac:dyDescent="0.35">
      <c r="A8" t="str">
        <f>Members!D4</f>
        <v>1a</v>
      </c>
      <c r="B8" t="str">
        <f>Members!J4</f>
        <v>JJ Rio</v>
      </c>
      <c r="C8">
        <f>Members!K4</f>
        <v>26890</v>
      </c>
      <c r="D8" t="str">
        <f>Members!H4</f>
        <v>x</v>
      </c>
      <c r="E8" t="str">
        <f t="shared" si="0"/>
        <v>mkdir %d%\1a 2&gt;NUL &amp; echo Loading 1a - JJ Rio (finished) &amp; curl --stderr stderr.log -s -S -H "Cookie: USERID=36964; PASSWORD=LQrxFeMoLxg3." "http://dailygammon.com/bg/user/26890?active=1&amp;finished=1&amp;sort_win_loss=0&amp;days_to_view=150" &gt;%d%\1a\finished_%ts%_1a_JJ_Rio-26890.html</v>
      </c>
    </row>
    <row r="9" spans="1:5" hidden="1" x14ac:dyDescent="0.35">
      <c r="A9" t="str">
        <f>Members!D5</f>
        <v>1a</v>
      </c>
      <c r="B9" t="str">
        <f>Members!J5</f>
        <v>Mattias Roos</v>
      </c>
      <c r="C9">
        <f>Members!K5</f>
        <v>33344</v>
      </c>
      <c r="D9" t="str">
        <f>Members!H5</f>
        <v>x</v>
      </c>
      <c r="E9" t="str">
        <f t="shared" si="0"/>
        <v>mkdir %d%\1a 2&gt;NUL &amp; echo Loading 1a - Mattias Roos (finished) &amp; curl --stderr stderr.log -s -S -H "Cookie: USERID=36964; PASSWORD=LQrxFeMoLxg3." "http://dailygammon.com/bg/user/33344?active=1&amp;finished=1&amp;sort_win_loss=0&amp;days_to_view=150" &gt;%d%\1a\finished_%ts%_1a_Mattias_Roos-33344.html</v>
      </c>
    </row>
    <row r="10" spans="1:5" hidden="1" x14ac:dyDescent="0.35">
      <c r="A10" t="str">
        <f>Members!D6</f>
        <v>1a</v>
      </c>
      <c r="B10" t="str">
        <f>Members!J6</f>
        <v>noundog</v>
      </c>
      <c r="C10">
        <f>Members!K6</f>
        <v>33060</v>
      </c>
      <c r="D10" t="str">
        <f>Members!H6</f>
        <v>x</v>
      </c>
      <c r="E10" t="str">
        <f t="shared" si="0"/>
        <v>mkdir %d%\1a 2&gt;NUL &amp; echo Loading 1a - noundog (finished) &amp; curl --stderr stderr.log -s -S -H "Cookie: USERID=36964; PASSWORD=LQrxFeMoLxg3." "http://dailygammon.com/bg/user/33060?active=1&amp;finished=1&amp;sort_win_loss=0&amp;days_to_view=150" &gt;%d%\1a\finished_%ts%_1a_noundog-33060.html</v>
      </c>
    </row>
    <row r="11" spans="1:5" hidden="1" x14ac:dyDescent="0.35">
      <c r="A11" t="str">
        <f>Members!D7</f>
        <v>1a</v>
      </c>
      <c r="B11" t="str">
        <f>Members!J7</f>
        <v>phinneas</v>
      </c>
      <c r="C11">
        <f>Members!K7</f>
        <v>21605</v>
      </c>
      <c r="D11" t="str">
        <f>Members!H7</f>
        <v>x</v>
      </c>
      <c r="E11" t="str">
        <f t="shared" si="0"/>
        <v>mkdir %d%\1a 2&gt;NUL &amp; echo Loading 1a - phinneas (finished) &amp; curl --stderr stderr.log -s -S -H "Cookie: USERID=36964; PASSWORD=LQrxFeMoLxg3." "http://dailygammon.com/bg/user/21605?active=1&amp;finished=1&amp;sort_win_loss=0&amp;days_to_view=150" &gt;%d%\1a\finished_%ts%_1a_phinneas-21605.html</v>
      </c>
    </row>
    <row r="12" spans="1:5" hidden="1" x14ac:dyDescent="0.35">
      <c r="A12" t="str">
        <f>Members!D8</f>
        <v>1a</v>
      </c>
      <c r="B12" t="str">
        <f>Members!J8</f>
        <v>Rasp</v>
      </c>
      <c r="C12">
        <f>Members!K8</f>
        <v>14866</v>
      </c>
      <c r="D12">
        <f>Members!H8</f>
        <v>0</v>
      </c>
      <c r="E12" t="str">
        <f t="shared" si="0"/>
        <v>mkdir %d%\1a 2&gt;NUL &amp; echo Loading 1a - Rasp &amp; curl --stderr stderr.log -s -S -H "Cookie: USERID=36964; PASSWORD=LQrxFeMoLxg3." "http://dailygammon.com/bg/user/14866?active=1&amp;finished=1&amp;sort_win_loss=0&amp;days_to_view=150" &gt;%d%\1a\%ts%_1a_Rasp-14866.html</v>
      </c>
    </row>
    <row r="13" spans="1:5" x14ac:dyDescent="0.35">
      <c r="A13" t="str">
        <f>Members!D9</f>
        <v>1a</v>
      </c>
      <c r="B13" t="str">
        <f>Members!J9</f>
        <v>Susanni</v>
      </c>
      <c r="C13">
        <f>Members!K9</f>
        <v>18758</v>
      </c>
      <c r="D13" t="str">
        <f>Members!H9</f>
        <v>x</v>
      </c>
      <c r="E13" t="str">
        <f t="shared" si="0"/>
        <v>mkdir %d%\1a 2&gt;NUL &amp; echo Loading 1a - Susanni (finished) &amp; curl --stderr stderr.log -s -S -H "Cookie: USERID=36964; PASSWORD=LQrxFeMoLxg3." "http://dailygammon.com/bg/user/18758?active=1&amp;finished=1&amp;sort_win_loss=0&amp;days_to_view=150" &gt;%d%\1a\finished_%ts%_1a_Susanni-18758.html</v>
      </c>
    </row>
    <row r="14" spans="1:5" hidden="1" x14ac:dyDescent="0.35">
      <c r="A14" t="str">
        <f>Members!D10</f>
        <v>1a</v>
      </c>
      <c r="B14" t="str">
        <f>Members!J10</f>
        <v>Willie Wonka</v>
      </c>
      <c r="C14">
        <f>Members!K10</f>
        <v>4872</v>
      </c>
      <c r="D14" t="str">
        <f>Members!H10</f>
        <v>x</v>
      </c>
      <c r="E14" t="str">
        <f t="shared" si="0"/>
        <v>mkdir %d%\1a 2&gt;NUL &amp; echo Loading 1a - Willie Wonka (finished) &amp; curl --stderr stderr.log -s -S -H "Cookie: USERID=36964; PASSWORD=LQrxFeMoLxg3." "http://dailygammon.com/bg/user/4872?active=1&amp;finished=1&amp;sort_win_loss=0&amp;days_to_view=150" &gt;%d%\1a\finished_%ts%_1a_Willie_Wonka-4872.html</v>
      </c>
    </row>
    <row r="15" spans="1:5" hidden="1" x14ac:dyDescent="0.35">
      <c r="A15" t="str">
        <f>Members!D11</f>
        <v>1a</v>
      </c>
      <c r="B15" t="str">
        <f>Members!J11</f>
        <v>Zenswang</v>
      </c>
      <c r="C15">
        <f>Members!K11</f>
        <v>38369</v>
      </c>
      <c r="D15" t="str">
        <f>Members!H11</f>
        <v>x</v>
      </c>
      <c r="E15" t="str">
        <f t="shared" si="0"/>
        <v>mkdir %d%\1a 2&gt;NUL &amp; echo Loading 1a - Zenswang (finished) &amp; curl --stderr stderr.log -s -S -H "Cookie: USERID=36964; PASSWORD=LQrxFeMoLxg3." "http://dailygammon.com/bg/user/38369?active=1&amp;finished=1&amp;sort_win_loss=0&amp;days_to_view=150" &gt;%d%\1a\finished_%ts%_1a_Zenswang-38369.html</v>
      </c>
    </row>
    <row r="16" spans="1:5" x14ac:dyDescent="0.35">
      <c r="A16" t="str">
        <f>Members!D12</f>
        <v>2a</v>
      </c>
      <c r="B16" t="str">
        <f>Members!J12</f>
        <v>Animalj</v>
      </c>
      <c r="C16">
        <f>Members!K12</f>
        <v>12968</v>
      </c>
      <c r="D16">
        <f>Members!H12</f>
        <v>0</v>
      </c>
      <c r="E16" t="str">
        <f t="shared" si="0"/>
        <v>mkdir %d%\2a 2&gt;NUL &amp; echo Loading 2a - Animalj &amp; curl --stderr stderr.log -s -S -H "Cookie: USERID=36964; PASSWORD=LQrxFeMoLxg3." "http://dailygammon.com/bg/user/12968?active=1&amp;finished=1&amp;sort_win_loss=0&amp;days_to_view=150" &gt;%d%\2a\%ts%_2a_Animalj-12968.html</v>
      </c>
    </row>
    <row r="17" spans="1:5" hidden="1" x14ac:dyDescent="0.35">
      <c r="A17" t="str">
        <f>Members!D13</f>
        <v>2a</v>
      </c>
      <c r="B17" t="str">
        <f>Members!J13</f>
        <v>Ark737</v>
      </c>
      <c r="C17">
        <f>Members!K13</f>
        <v>33827</v>
      </c>
      <c r="D17" t="str">
        <f>Members!H13</f>
        <v>x</v>
      </c>
      <c r="E17" t="str">
        <f t="shared" si="0"/>
        <v>mkdir %d%\2a 2&gt;NUL &amp; echo Loading 2a - Ark737 (finished) &amp; curl --stderr stderr.log -s -S -H "Cookie: USERID=36964; PASSWORD=LQrxFeMoLxg3." "http://dailygammon.com/bg/user/33827?active=1&amp;finished=1&amp;sort_win_loss=0&amp;days_to_view=150" &gt;%d%\2a\finished_%ts%_2a_Ark737-33827.html</v>
      </c>
    </row>
    <row r="18" spans="1:5" hidden="1" x14ac:dyDescent="0.35">
      <c r="A18" t="str">
        <f>Members!D14</f>
        <v>2a</v>
      </c>
      <c r="B18" t="str">
        <f>Members!J14</f>
        <v>Blueser</v>
      </c>
      <c r="C18">
        <f>Members!K14</f>
        <v>39451</v>
      </c>
      <c r="D18">
        <f>Members!H14</f>
        <v>0</v>
      </c>
      <c r="E18" t="str">
        <f t="shared" si="0"/>
        <v>mkdir %d%\2a 2&gt;NUL &amp; echo Loading 2a - Blueser &amp; curl --stderr stderr.log -s -S -H "Cookie: USERID=36964; PASSWORD=LQrxFeMoLxg3." "http://dailygammon.com/bg/user/39451?active=1&amp;finished=1&amp;sort_win_loss=0&amp;days_to_view=150" &gt;%d%\2a\%ts%_2a_Blueser-39451.html</v>
      </c>
    </row>
    <row r="19" spans="1:5" hidden="1" x14ac:dyDescent="0.35">
      <c r="A19" t="str">
        <f>Members!D15</f>
        <v>2a</v>
      </c>
      <c r="B19" t="str">
        <f>Members!J15</f>
        <v>Buckerooni</v>
      </c>
      <c r="C19">
        <f>Members!K15</f>
        <v>35052</v>
      </c>
      <c r="D19" t="str">
        <f>Members!H15</f>
        <v>x</v>
      </c>
      <c r="E19" t="str">
        <f t="shared" si="0"/>
        <v>mkdir %d%\2a 2&gt;NUL &amp; echo Loading 2a - Buckerooni (finished) &amp; curl --stderr stderr.log -s -S -H "Cookie: USERID=36964; PASSWORD=LQrxFeMoLxg3." "http://dailygammon.com/bg/user/35052?active=1&amp;finished=1&amp;sort_win_loss=0&amp;days_to_view=150" &gt;%d%\2a\finished_%ts%_2a_Buckerooni-35052.html</v>
      </c>
    </row>
    <row r="20" spans="1:5" x14ac:dyDescent="0.35">
      <c r="A20" t="str">
        <f>Members!D16</f>
        <v>2a</v>
      </c>
      <c r="B20" t="str">
        <f>Members!J16</f>
        <v>Cafeplayer</v>
      </c>
      <c r="C20">
        <f>Members!K16</f>
        <v>34026</v>
      </c>
      <c r="D20">
        <f>Members!H16</f>
        <v>0</v>
      </c>
      <c r="E20" t="str">
        <f t="shared" si="0"/>
        <v>mkdir %d%\2a 2&gt;NUL &amp; echo Loading 2a - Cafeplayer &amp; curl --stderr stderr.log -s -S -H "Cookie: USERID=36964; PASSWORD=LQrxFeMoLxg3." "http://dailygammon.com/bg/user/34026?active=1&amp;finished=1&amp;sort_win_loss=0&amp;days_to_view=150" &gt;%d%\2a\%ts%_2a_Cafeplayer-34026.html</v>
      </c>
    </row>
    <row r="21" spans="1:5" hidden="1" x14ac:dyDescent="0.35">
      <c r="A21" t="str">
        <f>Members!D17</f>
        <v>2a</v>
      </c>
      <c r="B21" t="str">
        <f>Members!J17</f>
        <v>FUZZYCHECKER</v>
      </c>
      <c r="C21">
        <f>Members!K17</f>
        <v>32423</v>
      </c>
      <c r="D21" t="str">
        <f>Members!H17</f>
        <v>x</v>
      </c>
      <c r="E21" t="str">
        <f t="shared" si="0"/>
        <v>mkdir %d%\2a 2&gt;NUL &amp; echo Loading 2a - FUZZYCHECKER (finished) &amp; curl --stderr stderr.log -s -S -H "Cookie: USERID=36964; PASSWORD=LQrxFeMoLxg3." "http://dailygammon.com/bg/user/32423?active=1&amp;finished=1&amp;sort_win_loss=0&amp;days_to_view=150" &gt;%d%\2a\finished_%ts%_2a_FUZZYCHECKER-32423.html</v>
      </c>
    </row>
    <row r="22" spans="1:5" hidden="1" x14ac:dyDescent="0.35">
      <c r="A22" t="str">
        <f>Members!D18</f>
        <v>2a</v>
      </c>
      <c r="B22" t="str">
        <f>Members!J18</f>
        <v>Nureyev</v>
      </c>
      <c r="C22">
        <f>Members!K18</f>
        <v>25013</v>
      </c>
      <c r="D22" t="str">
        <f>Members!H18</f>
        <v>x</v>
      </c>
      <c r="E22" t="str">
        <f t="shared" si="0"/>
        <v>mkdir %d%\2a 2&gt;NUL &amp; echo Loading 2a - Nureyev (finished) &amp; curl --stderr stderr.log -s -S -H "Cookie: USERID=36964; PASSWORD=LQrxFeMoLxg3." "http://dailygammon.com/bg/user/25013?active=1&amp;finished=1&amp;sort_win_loss=0&amp;days_to_view=150" &gt;%d%\2a\finished_%ts%_2a_Nureyev-25013.html</v>
      </c>
    </row>
    <row r="23" spans="1:5" hidden="1" x14ac:dyDescent="0.35">
      <c r="A23" t="str">
        <f>Members!D19</f>
        <v>2a</v>
      </c>
      <c r="B23" t="str">
        <f>Members!J19</f>
        <v>Say La Vee</v>
      </c>
      <c r="C23">
        <f>Members!K19</f>
        <v>22451</v>
      </c>
      <c r="D23" t="str">
        <f>Members!H19</f>
        <v>x</v>
      </c>
      <c r="E23" t="str">
        <f t="shared" si="0"/>
        <v>mkdir %d%\2a 2&gt;NUL &amp; echo Loading 2a - Say La Vee (finished) &amp; curl --stderr stderr.log -s -S -H "Cookie: USERID=36964; PASSWORD=LQrxFeMoLxg3." "http://dailygammon.com/bg/user/22451?active=1&amp;finished=1&amp;sort_win_loss=0&amp;days_to_view=150" &gt;%d%\2a\finished_%ts%_2a_Say_La_Vee-22451.html</v>
      </c>
    </row>
    <row r="24" spans="1:5" hidden="1" x14ac:dyDescent="0.35">
      <c r="A24" t="str">
        <f>Members!D20</f>
        <v>2a</v>
      </c>
      <c r="B24" t="str">
        <f>Members!J20</f>
        <v>sb101</v>
      </c>
      <c r="C24">
        <f>Members!K20</f>
        <v>22511</v>
      </c>
      <c r="D24" t="str">
        <f>Members!H20</f>
        <v>x</v>
      </c>
      <c r="E24" t="str">
        <f t="shared" si="0"/>
        <v>mkdir %d%\2a 2&gt;NUL &amp; echo Loading 2a - sb101 (finished) &amp; curl --stderr stderr.log -s -S -H "Cookie: USERID=36964; PASSWORD=LQrxFeMoLxg3." "http://dailygammon.com/bg/user/22511?active=1&amp;finished=1&amp;sort_win_loss=0&amp;days_to_view=150" &gt;%d%\2a\finished_%ts%_2a_sb101-22511.html</v>
      </c>
    </row>
    <row r="25" spans="1:5" hidden="1" x14ac:dyDescent="0.35">
      <c r="A25" t="str">
        <f>Members!D21</f>
        <v>2a</v>
      </c>
      <c r="B25" t="str">
        <f>Members!J21</f>
        <v>vincbt</v>
      </c>
      <c r="C25">
        <f>Members!K21</f>
        <v>28712</v>
      </c>
      <c r="D25" t="str">
        <f>Members!H21</f>
        <v>x</v>
      </c>
      <c r="E25" t="str">
        <f t="shared" si="0"/>
        <v>mkdir %d%\2a 2&gt;NUL &amp; echo Loading 2a - vincbt (finished) &amp; curl --stderr stderr.log -s -S -H "Cookie: USERID=36964; PASSWORD=LQrxFeMoLxg3." "http://dailygammon.com/bg/user/28712?active=1&amp;finished=1&amp;sort_win_loss=0&amp;days_to_view=150" &gt;%d%\2a\finished_%ts%_2a_vincbt-28712.html</v>
      </c>
    </row>
    <row r="26" spans="1:5" hidden="1" x14ac:dyDescent="0.35">
      <c r="A26" t="str">
        <f>Members!D22</f>
        <v>2b</v>
      </c>
      <c r="B26" t="str">
        <f>Members!J22</f>
        <v>69Sandman</v>
      </c>
      <c r="C26">
        <f>Members!K22</f>
        <v>27176</v>
      </c>
      <c r="D26" t="str">
        <f>Members!H22</f>
        <v>x</v>
      </c>
      <c r="E26" t="str">
        <f t="shared" si="0"/>
        <v>mkdir %d%\2b 2&gt;NUL &amp; echo Loading 2b - 69Sandman (finished) &amp; curl --stderr stderr.log -s -S -H "Cookie: USERID=36964; PASSWORD=LQrxFeMoLxg3." "http://dailygammon.com/bg/user/27176?active=1&amp;finished=1&amp;sort_win_loss=0&amp;days_to_view=150" &gt;%d%\2b\finished_%ts%_2b_69Sandman-27176.html</v>
      </c>
    </row>
    <row r="27" spans="1:5" hidden="1" x14ac:dyDescent="0.35">
      <c r="A27" t="str">
        <f>Members!D23</f>
        <v>2b</v>
      </c>
      <c r="B27" t="str">
        <f>Members!J23</f>
        <v>Captnblaubaer</v>
      </c>
      <c r="C27">
        <f>Members!K23</f>
        <v>32477</v>
      </c>
      <c r="D27" t="str">
        <f>Members!H23</f>
        <v>x</v>
      </c>
      <c r="E27" t="str">
        <f t="shared" si="0"/>
        <v>mkdir %d%\2b 2&gt;NUL &amp; echo Loading 2b - Captnblaubaer (finished) &amp; curl --stderr stderr.log -s -S -H "Cookie: USERID=36964; PASSWORD=LQrxFeMoLxg3." "http://dailygammon.com/bg/user/32477?active=1&amp;finished=1&amp;sort_win_loss=0&amp;days_to_view=150" &gt;%d%\2b\finished_%ts%_2b_Captnblaubaer-32477.html</v>
      </c>
    </row>
    <row r="28" spans="1:5" hidden="1" x14ac:dyDescent="0.35">
      <c r="A28" t="str">
        <f>Members!D24</f>
        <v>2b</v>
      </c>
      <c r="B28" t="str">
        <f>Members!J24</f>
        <v>DrummieMilo</v>
      </c>
      <c r="C28">
        <f>Members!K24</f>
        <v>31793</v>
      </c>
      <c r="D28" t="str">
        <f>Members!H24</f>
        <v>x</v>
      </c>
      <c r="E28" t="str">
        <f t="shared" si="0"/>
        <v>mkdir %d%\2b 2&gt;NUL &amp; echo Loading 2b - DrummieMilo (finished) &amp; curl --stderr stderr.log -s -S -H "Cookie: USERID=36964; PASSWORD=LQrxFeMoLxg3." "http://dailygammon.com/bg/user/31793?active=1&amp;finished=1&amp;sort_win_loss=0&amp;days_to_view=150" &gt;%d%\2b\finished_%ts%_2b_DrummieMilo-31793.html</v>
      </c>
    </row>
    <row r="29" spans="1:5" hidden="1" x14ac:dyDescent="0.35">
      <c r="A29" t="str">
        <f>Members!D25</f>
        <v>2b</v>
      </c>
      <c r="B29" t="str">
        <f>Members!J25</f>
        <v>dzsobacsi</v>
      </c>
      <c r="C29">
        <f>Members!K25</f>
        <v>31952</v>
      </c>
      <c r="D29" t="str">
        <f>Members!H25</f>
        <v>x</v>
      </c>
      <c r="E29" t="str">
        <f t="shared" si="0"/>
        <v>mkdir %d%\2b 2&gt;NUL &amp; echo Loading 2b - dzsobacsi (finished) &amp; curl --stderr stderr.log -s -S -H "Cookie: USERID=36964; PASSWORD=LQrxFeMoLxg3." "http://dailygammon.com/bg/user/31952?active=1&amp;finished=1&amp;sort_win_loss=0&amp;days_to_view=150" &gt;%d%\2b\finished_%ts%_2b_dzsobacsi-31952.html</v>
      </c>
    </row>
    <row r="30" spans="1:5" hidden="1" x14ac:dyDescent="0.35">
      <c r="A30" t="str">
        <f>Members!D26</f>
        <v>2b</v>
      </c>
      <c r="B30" t="str">
        <f>Members!J26</f>
        <v>Freesurfer</v>
      </c>
      <c r="C30">
        <f>Members!K26</f>
        <v>32442</v>
      </c>
      <c r="D30" t="str">
        <f>Members!H26</f>
        <v>x</v>
      </c>
      <c r="E30" t="str">
        <f t="shared" si="0"/>
        <v>mkdir %d%\2b 2&gt;NUL &amp; echo Loading 2b - Freesurfer (finished) &amp; curl --stderr stderr.log -s -S -H "Cookie: USERID=36964; PASSWORD=LQrxFeMoLxg3." "http://dailygammon.com/bg/user/32442?active=1&amp;finished=1&amp;sort_win_loss=0&amp;days_to_view=150" &gt;%d%\2b\finished_%ts%_2b_Freesurfer-32442.html</v>
      </c>
    </row>
    <row r="31" spans="1:5" hidden="1" x14ac:dyDescent="0.35">
      <c r="A31" t="str">
        <f>Members!D27</f>
        <v>2b</v>
      </c>
      <c r="B31" t="str">
        <f>Members!J27</f>
        <v>goofie</v>
      </c>
      <c r="C31">
        <f>Members!K27</f>
        <v>16338</v>
      </c>
      <c r="D31" t="str">
        <f>Members!H27</f>
        <v>x</v>
      </c>
      <c r="E31" t="str">
        <f t="shared" si="0"/>
        <v>mkdir %d%\2b 2&gt;NUL &amp; echo Loading 2b - goofie (finished) &amp; curl --stderr stderr.log -s -S -H "Cookie: USERID=36964; PASSWORD=LQrxFeMoLxg3." "http://dailygammon.com/bg/user/16338?active=1&amp;finished=1&amp;sort_win_loss=0&amp;days_to_view=150" &gt;%d%\2b\finished_%ts%_2b_goofie-16338.html</v>
      </c>
    </row>
    <row r="32" spans="1:5" hidden="1" x14ac:dyDescent="0.35">
      <c r="A32" t="str">
        <f>Members!D28</f>
        <v>2b</v>
      </c>
      <c r="B32" t="str">
        <f>Members!J28</f>
        <v>Greathumics</v>
      </c>
      <c r="C32">
        <f>Members!K28</f>
        <v>37183</v>
      </c>
      <c r="D32" t="str">
        <f>Members!H28</f>
        <v>x</v>
      </c>
      <c r="E32" t="str">
        <f t="shared" si="0"/>
        <v>mkdir %d%\2b 2&gt;NUL &amp; echo Loading 2b - Greathumics (finished) &amp; curl --stderr stderr.log -s -S -H "Cookie: USERID=36964; PASSWORD=LQrxFeMoLxg3." "http://dailygammon.com/bg/user/37183?active=1&amp;finished=1&amp;sort_win_loss=0&amp;days_to_view=150" &gt;%d%\2b\finished_%ts%_2b_Greathumics-37183.html</v>
      </c>
    </row>
    <row r="33" spans="1:5" hidden="1" x14ac:dyDescent="0.35">
      <c r="A33" t="str">
        <f>Members!D29</f>
        <v>2b</v>
      </c>
      <c r="B33" t="str">
        <f>Members!J29</f>
        <v>magic one</v>
      </c>
      <c r="C33">
        <f>Members!K29</f>
        <v>8801</v>
      </c>
      <c r="D33" t="str">
        <f>Members!H29</f>
        <v>x</v>
      </c>
      <c r="E33" t="str">
        <f t="shared" si="0"/>
        <v>mkdir %d%\2b 2&gt;NUL &amp; echo Loading 2b - magic one (finished) &amp; curl --stderr stderr.log -s -S -H "Cookie: USERID=36964; PASSWORD=LQrxFeMoLxg3." "http://dailygammon.com/bg/user/8801?active=1&amp;finished=1&amp;sort_win_loss=0&amp;days_to_view=150" &gt;%d%\2b\finished_%ts%_2b_magic_one-8801.html</v>
      </c>
    </row>
    <row r="34" spans="1:5" hidden="1" x14ac:dyDescent="0.35">
      <c r="A34" t="str">
        <f>Members!D30</f>
        <v>2b</v>
      </c>
      <c r="B34" t="str">
        <f>Members!J30</f>
        <v>Sandr</v>
      </c>
      <c r="C34">
        <f>Members!K30</f>
        <v>31517</v>
      </c>
      <c r="D34" t="str">
        <f>Members!H30</f>
        <v>x</v>
      </c>
      <c r="E34" t="str">
        <f t="shared" si="0"/>
        <v>mkdir %d%\2b 2&gt;NUL &amp; echo Loading 2b - Sandr (finished) &amp; curl --stderr stderr.log -s -S -H "Cookie: USERID=36964; PASSWORD=LQrxFeMoLxg3." "http://dailygammon.com/bg/user/31517?active=1&amp;finished=1&amp;sort_win_loss=0&amp;days_to_view=150" &gt;%d%\2b\finished_%ts%_2b_Sandr-31517.html</v>
      </c>
    </row>
    <row r="35" spans="1:5" hidden="1" x14ac:dyDescent="0.35">
      <c r="A35" t="str">
        <f>Members!D31</f>
        <v>2b</v>
      </c>
      <c r="B35" t="str">
        <f>Members!J31</f>
        <v>skonaman</v>
      </c>
      <c r="C35">
        <f>Members!K31</f>
        <v>28783</v>
      </c>
      <c r="D35" t="str">
        <f>Members!H31</f>
        <v>x</v>
      </c>
      <c r="E35" t="str">
        <f t="shared" si="0"/>
        <v>mkdir %d%\2b 2&gt;NUL &amp; echo Loading 2b - skonaman (finished) &amp; curl --stderr stderr.log -s -S -H "Cookie: USERID=36964; PASSWORD=LQrxFeMoLxg3." "http://dailygammon.com/bg/user/28783?active=1&amp;finished=1&amp;sort_win_loss=0&amp;days_to_view=150" &gt;%d%\2b\finished_%ts%_2b_skonaman-28783.html</v>
      </c>
    </row>
    <row r="36" spans="1:5" hidden="1" x14ac:dyDescent="0.35">
      <c r="A36" t="str">
        <f>Members!D32</f>
        <v>3a</v>
      </c>
      <c r="B36" t="str">
        <f>Members!J32</f>
        <v>DichiBerlin</v>
      </c>
      <c r="C36">
        <f>Members!K32</f>
        <v>22426</v>
      </c>
      <c r="D36" t="str">
        <f>Members!H32</f>
        <v>x</v>
      </c>
      <c r="E36" t="str">
        <f t="shared" si="0"/>
        <v>mkdir %d%\3a 2&gt;NUL &amp; echo Loading 3a - DichiBerlin (finished) &amp; curl --stderr stderr.log -s -S -H "Cookie: USERID=36964; PASSWORD=LQrxFeMoLxg3." "http://dailygammon.com/bg/user/22426?active=1&amp;finished=1&amp;sort_win_loss=0&amp;days_to_view=150" &gt;%d%\3a\finished_%ts%_3a_DichiBerlin-22426.html</v>
      </c>
    </row>
    <row r="37" spans="1:5" hidden="1" x14ac:dyDescent="0.35">
      <c r="A37" t="str">
        <f>Members!D33</f>
        <v>3a</v>
      </c>
      <c r="B37" t="str">
        <f>Members!J33</f>
        <v>FuturePrimitive</v>
      </c>
      <c r="C37">
        <f>Members!K33</f>
        <v>20617</v>
      </c>
      <c r="D37">
        <f>Members!H33</f>
        <v>0</v>
      </c>
      <c r="E37" t="str">
        <f t="shared" si="0"/>
        <v>mkdir %d%\3a 2&gt;NUL &amp; echo Loading 3a - FuturePrimitive &amp; curl --stderr stderr.log -s -S -H "Cookie: USERID=36964; PASSWORD=LQrxFeMoLxg3." "http://dailygammon.com/bg/user/20617?active=1&amp;finished=1&amp;sort_win_loss=0&amp;days_to_view=150" &gt;%d%\3a\%ts%_3a_FuturePrimitive-20617.html</v>
      </c>
    </row>
    <row r="38" spans="1:5" hidden="1" x14ac:dyDescent="0.35">
      <c r="A38" t="str">
        <f>Members!D34</f>
        <v>3a</v>
      </c>
      <c r="B38" t="str">
        <f>Members!J34</f>
        <v>hentea</v>
      </c>
      <c r="C38">
        <f>Members!K34</f>
        <v>27904</v>
      </c>
      <c r="D38" t="str">
        <f>Members!H34</f>
        <v>x</v>
      </c>
      <c r="E38" t="str">
        <f t="shared" si="0"/>
        <v>mkdir %d%\3a 2&gt;NUL &amp; echo Loading 3a - hentea (finished) &amp; curl --stderr stderr.log -s -S -H "Cookie: USERID=36964; PASSWORD=LQrxFeMoLxg3." "http://dailygammon.com/bg/user/27904?active=1&amp;finished=1&amp;sort_win_loss=0&amp;days_to_view=150" &gt;%d%\3a\finished_%ts%_3a_hentea-27904.html</v>
      </c>
    </row>
    <row r="39" spans="1:5" hidden="1" x14ac:dyDescent="0.35">
      <c r="A39" t="str">
        <f>Members!D35</f>
        <v>3a</v>
      </c>
      <c r="B39" t="str">
        <f>Members!J35</f>
        <v>homputer</v>
      </c>
      <c r="C39">
        <f>Members!K35</f>
        <v>22447</v>
      </c>
      <c r="D39" t="str">
        <f>Members!H35</f>
        <v>x</v>
      </c>
      <c r="E39" t="str">
        <f t="shared" si="0"/>
        <v>mkdir %d%\3a 2&gt;NUL &amp; echo Loading 3a - homputer (finished) &amp; curl --stderr stderr.log -s -S -H "Cookie: USERID=36964; PASSWORD=LQrxFeMoLxg3." "http://dailygammon.com/bg/user/22447?active=1&amp;finished=1&amp;sort_win_loss=0&amp;days_to_view=150" &gt;%d%\3a\finished_%ts%_3a_homputer-22447.html</v>
      </c>
    </row>
    <row r="40" spans="1:5" x14ac:dyDescent="0.35">
      <c r="A40" t="str">
        <f>Members!D36</f>
        <v>3a</v>
      </c>
      <c r="B40" t="str">
        <f>Members!J36</f>
        <v>justinlca</v>
      </c>
      <c r="C40">
        <f>Members!K36</f>
        <v>22550</v>
      </c>
      <c r="D40">
        <f>Members!H36</f>
        <v>0</v>
      </c>
      <c r="E40" t="str">
        <f t="shared" si="0"/>
        <v>mkdir %d%\3a 2&gt;NUL &amp; echo Loading 3a - justinlca &amp; curl --stderr stderr.log -s -S -H "Cookie: USERID=36964; PASSWORD=LQrxFeMoLxg3." "http://dailygammon.com/bg/user/22550?active=1&amp;finished=1&amp;sort_win_loss=0&amp;days_to_view=150" &gt;%d%\3a\%ts%_3a_justinlca-22550.html</v>
      </c>
    </row>
    <row r="41" spans="1:5" hidden="1" x14ac:dyDescent="0.35">
      <c r="A41" t="str">
        <f>Members!D37</f>
        <v>3a</v>
      </c>
      <c r="B41" t="str">
        <f>Members!J37</f>
        <v>mdsolutions</v>
      </c>
      <c r="C41">
        <f>Members!K37</f>
        <v>19565</v>
      </c>
      <c r="D41" t="str">
        <f>Members!H37</f>
        <v>x</v>
      </c>
      <c r="E41" t="str">
        <f t="shared" si="0"/>
        <v>mkdir %d%\3a 2&gt;NUL &amp; echo Loading 3a - mdsolutions (finished) &amp; curl --stderr stderr.log -s -S -H "Cookie: USERID=36964; PASSWORD=LQrxFeMoLxg3." "http://dailygammon.com/bg/user/19565?active=1&amp;finished=1&amp;sort_win_loss=0&amp;days_to_view=150" &gt;%d%\3a\finished_%ts%_3a_mdsolutions-19565.html</v>
      </c>
    </row>
    <row r="42" spans="1:5" hidden="1" x14ac:dyDescent="0.35">
      <c r="A42" t="str">
        <f>Members!D38</f>
        <v>3a</v>
      </c>
      <c r="B42" t="str">
        <f>Members!J38</f>
        <v>Muenchi</v>
      </c>
      <c r="C42">
        <f>Members!K38</f>
        <v>435</v>
      </c>
      <c r="D42" t="str">
        <f>Members!H38</f>
        <v>x</v>
      </c>
      <c r="E42" t="str">
        <f t="shared" si="0"/>
        <v>mkdir %d%\3a 2&gt;NUL &amp; echo Loading 3a - Muenchi (finished) &amp; curl --stderr stderr.log -s -S -H "Cookie: USERID=36964; PASSWORD=LQrxFeMoLxg3." "http://dailygammon.com/bg/user/435?active=1&amp;finished=1&amp;sort_win_loss=0&amp;days_to_view=150" &gt;%d%\3a\finished_%ts%_3a_Muenchi-435.html</v>
      </c>
    </row>
    <row r="43" spans="1:5" hidden="1" x14ac:dyDescent="0.35">
      <c r="A43" t="str">
        <f>Members!D39</f>
        <v>3a</v>
      </c>
      <c r="B43" t="str">
        <f>Members!J39</f>
        <v>Nutsch</v>
      </c>
      <c r="C43">
        <f>Members!K39</f>
        <v>26839</v>
      </c>
      <c r="D43" t="str">
        <f>Members!H39</f>
        <v>x</v>
      </c>
      <c r="E43" t="str">
        <f t="shared" si="0"/>
        <v>mkdir %d%\3a 2&gt;NUL &amp; echo Loading 3a - Nutsch (finished) &amp; curl --stderr stderr.log -s -S -H "Cookie: USERID=36964; PASSWORD=LQrxFeMoLxg3." "http://dailygammon.com/bg/user/26839?active=1&amp;finished=1&amp;sort_win_loss=0&amp;days_to_view=150" &gt;%d%\3a\finished_%ts%_3a_Nutsch-26839.html</v>
      </c>
    </row>
    <row r="44" spans="1:5" x14ac:dyDescent="0.35">
      <c r="A44" t="str">
        <f>Members!D40</f>
        <v>3a</v>
      </c>
      <c r="B44" t="str">
        <f>Members!J40</f>
        <v>paul11</v>
      </c>
      <c r="C44">
        <f>Members!K40</f>
        <v>17909</v>
      </c>
      <c r="D44" t="str">
        <f>Members!H40</f>
        <v>x</v>
      </c>
      <c r="E44" t="str">
        <f t="shared" si="0"/>
        <v>mkdir %d%\3a 2&gt;NUL &amp; echo Loading 3a - paul11 (finished) &amp; curl --stderr stderr.log -s -S -H "Cookie: USERID=36964; PASSWORD=LQrxFeMoLxg3." "http://dailygammon.com/bg/user/17909?active=1&amp;finished=1&amp;sort_win_loss=0&amp;days_to_view=150" &gt;%d%\3a\finished_%ts%_3a_paul11-17909.html</v>
      </c>
    </row>
    <row r="45" spans="1:5" hidden="1" x14ac:dyDescent="0.35">
      <c r="A45" t="str">
        <f>Members!D41</f>
        <v>3a</v>
      </c>
      <c r="B45" t="str">
        <f>Members!J41</f>
        <v>Ringbrett</v>
      </c>
      <c r="C45">
        <f>Members!K41</f>
        <v>19182</v>
      </c>
      <c r="D45" t="str">
        <f>Members!H41</f>
        <v>x</v>
      </c>
      <c r="E45" t="str">
        <f t="shared" si="0"/>
        <v>mkdir %d%\3a 2&gt;NUL &amp; echo Loading 3a - Ringbrett (finished) &amp; curl --stderr stderr.log -s -S -H "Cookie: USERID=36964; PASSWORD=LQrxFeMoLxg3." "http://dailygammon.com/bg/user/19182?active=1&amp;finished=1&amp;sort_win_loss=0&amp;days_to_view=150" &gt;%d%\3a\finished_%ts%_3a_Ringbrett-19182.html</v>
      </c>
    </row>
    <row r="46" spans="1:5" hidden="1" x14ac:dyDescent="0.35">
      <c r="A46" t="str">
        <f>Members!D42</f>
        <v>3b</v>
      </c>
      <c r="B46" t="str">
        <f>Members!J42</f>
        <v>averell</v>
      </c>
      <c r="C46">
        <f>Members!K42</f>
        <v>4701</v>
      </c>
      <c r="D46" t="str">
        <f>Members!H42</f>
        <v>x</v>
      </c>
      <c r="E46" t="str">
        <f t="shared" si="0"/>
        <v>mkdir %d%\3b 2&gt;NUL &amp; echo Loading 3b - averell (finished) &amp; curl --stderr stderr.log -s -S -H "Cookie: USERID=36964; PASSWORD=LQrxFeMoLxg3." "http://dailygammon.com/bg/user/4701?active=1&amp;finished=1&amp;sort_win_loss=0&amp;days_to_view=150" &gt;%d%\3b\finished_%ts%_3b_averell-4701.html</v>
      </c>
    </row>
    <row r="47" spans="1:5" hidden="1" x14ac:dyDescent="0.35">
      <c r="A47" t="str">
        <f>Members!D43</f>
        <v>3b</v>
      </c>
      <c r="B47" t="str">
        <f>Members!J43</f>
        <v>beyazit</v>
      </c>
      <c r="C47">
        <f>Members!K43</f>
        <v>18147</v>
      </c>
      <c r="D47" t="str">
        <f>Members!H43</f>
        <v>x</v>
      </c>
      <c r="E47" t="str">
        <f t="shared" si="0"/>
        <v>mkdir %d%\3b 2&gt;NUL &amp; echo Loading 3b - beyazit (finished) &amp; curl --stderr stderr.log -s -S -H "Cookie: USERID=36964; PASSWORD=LQrxFeMoLxg3." "http://dailygammon.com/bg/user/18147?active=1&amp;finished=1&amp;sort_win_loss=0&amp;days_to_view=150" &gt;%d%\3b\finished_%ts%_3b_beyazit-18147.html</v>
      </c>
    </row>
    <row r="48" spans="1:5" hidden="1" x14ac:dyDescent="0.35">
      <c r="A48" t="str">
        <f>Members!D44</f>
        <v>3b</v>
      </c>
      <c r="B48" t="str">
        <f>Members!J44</f>
        <v>ELANRA</v>
      </c>
      <c r="C48">
        <f>Members!K44</f>
        <v>21692</v>
      </c>
      <c r="D48" t="str">
        <f>Members!H44</f>
        <v>x</v>
      </c>
      <c r="E48" t="str">
        <f t="shared" si="0"/>
        <v>mkdir %d%\3b 2&gt;NUL &amp; echo Loading 3b - ELANRA (finished) &amp; curl --stderr stderr.log -s -S -H "Cookie: USERID=36964; PASSWORD=LQrxFeMoLxg3." "http://dailygammon.com/bg/user/21692?active=1&amp;finished=1&amp;sort_win_loss=0&amp;days_to_view=150" &gt;%d%\3b\finished_%ts%_3b_ELANRA-21692.html</v>
      </c>
    </row>
    <row r="49" spans="1:5" hidden="1" x14ac:dyDescent="0.35">
      <c r="A49" t="str">
        <f>Members!D45</f>
        <v>3b</v>
      </c>
      <c r="B49" t="str">
        <f>Members!J45</f>
        <v>gleneagle59</v>
      </c>
      <c r="C49">
        <f>Members!K45</f>
        <v>40029</v>
      </c>
      <c r="D49">
        <f>Members!H45</f>
        <v>0</v>
      </c>
      <c r="E49" t="str">
        <f t="shared" si="0"/>
        <v>mkdir %d%\3b 2&gt;NUL &amp; echo Loading 3b - gleneagle59 &amp; curl --stderr stderr.log -s -S -H "Cookie: USERID=36964; PASSWORD=LQrxFeMoLxg3." "http://dailygammon.com/bg/user/40029?active=1&amp;finished=1&amp;sort_win_loss=0&amp;days_to_view=150" &gt;%d%\3b\%ts%_3b_gleneagle59-40029.html</v>
      </c>
    </row>
    <row r="50" spans="1:5" hidden="1" x14ac:dyDescent="0.35">
      <c r="A50" t="str">
        <f>Members!D46</f>
        <v>3b</v>
      </c>
      <c r="B50" t="str">
        <f>Members!J46</f>
        <v>itcfbod</v>
      </c>
      <c r="C50">
        <f>Members!K46</f>
        <v>18243</v>
      </c>
      <c r="D50" t="str">
        <f>Members!H46</f>
        <v>x</v>
      </c>
      <c r="E50" t="str">
        <f t="shared" si="0"/>
        <v>mkdir %d%\3b 2&gt;NUL &amp; echo Loading 3b - itcfbod (finished) &amp; curl --stderr stderr.log -s -S -H "Cookie: USERID=36964; PASSWORD=LQrxFeMoLxg3." "http://dailygammon.com/bg/user/18243?active=1&amp;finished=1&amp;sort_win_loss=0&amp;days_to_view=150" &gt;%d%\3b\finished_%ts%_3b_itcfbod-18243.html</v>
      </c>
    </row>
    <row r="51" spans="1:5" hidden="1" x14ac:dyDescent="0.35">
      <c r="A51" t="str">
        <f>Members!D47</f>
        <v>3b</v>
      </c>
      <c r="B51" t="str">
        <f>Members!J47</f>
        <v>Mandria</v>
      </c>
      <c r="C51">
        <f>Members!K47</f>
        <v>30367</v>
      </c>
      <c r="D51" t="str">
        <f>Members!H47</f>
        <v>x</v>
      </c>
      <c r="E51" t="str">
        <f t="shared" si="0"/>
        <v>mkdir %d%\3b 2&gt;NUL &amp; echo Loading 3b - Mandria (finished) &amp; curl --stderr stderr.log -s -S -H "Cookie: USERID=36964; PASSWORD=LQrxFeMoLxg3." "http://dailygammon.com/bg/user/30367?active=1&amp;finished=1&amp;sort_win_loss=0&amp;days_to_view=150" &gt;%d%\3b\finished_%ts%_3b_Mandria-30367.html</v>
      </c>
    </row>
    <row r="52" spans="1:5" hidden="1" x14ac:dyDescent="0.35">
      <c r="A52" t="str">
        <f>Members!D48</f>
        <v>3b</v>
      </c>
      <c r="B52" t="str">
        <f>Members!J48</f>
        <v>Otis</v>
      </c>
      <c r="C52">
        <f>Members!K48</f>
        <v>6508</v>
      </c>
      <c r="D52" t="str">
        <f>Members!H48</f>
        <v>x</v>
      </c>
      <c r="E52" t="str">
        <f t="shared" si="0"/>
        <v>mkdir %d%\3b 2&gt;NUL &amp; echo Loading 3b - Otis (finished) &amp; curl --stderr stderr.log -s -S -H "Cookie: USERID=36964; PASSWORD=LQrxFeMoLxg3." "http://dailygammon.com/bg/user/6508?active=1&amp;finished=1&amp;sort_win_loss=0&amp;days_to_view=150" &gt;%d%\3b\finished_%ts%_3b_Otis-6508.html</v>
      </c>
    </row>
    <row r="53" spans="1:5" hidden="1" x14ac:dyDescent="0.35">
      <c r="A53" t="str">
        <f>Members!D49</f>
        <v>3b</v>
      </c>
      <c r="B53" t="str">
        <f>Members!J49</f>
        <v>SGE2019</v>
      </c>
      <c r="C53">
        <f>Members!K49</f>
        <v>32600</v>
      </c>
      <c r="D53" t="str">
        <f>Members!H49</f>
        <v>x</v>
      </c>
      <c r="E53" t="str">
        <f t="shared" si="0"/>
        <v>mkdir %d%\3b 2&gt;NUL &amp; echo Loading 3b - SGE2019 (finished) &amp; curl --stderr stderr.log -s -S -H "Cookie: USERID=36964; PASSWORD=LQrxFeMoLxg3." "http://dailygammon.com/bg/user/32600?active=1&amp;finished=1&amp;sort_win_loss=0&amp;days_to_view=150" &gt;%d%\3b\finished_%ts%_3b_SGE2019-32600.html</v>
      </c>
    </row>
    <row r="54" spans="1:5" hidden="1" x14ac:dyDescent="0.35">
      <c r="A54" t="str">
        <f>Members!D50</f>
        <v>3b</v>
      </c>
      <c r="B54" t="str">
        <f>Members!J50</f>
        <v>tochev71</v>
      </c>
      <c r="C54">
        <f>Members!K50</f>
        <v>17562</v>
      </c>
      <c r="D54" t="str">
        <f>Members!H50</f>
        <v>x</v>
      </c>
      <c r="E54" t="str">
        <f t="shared" si="0"/>
        <v>mkdir %d%\3b 2&gt;NUL &amp; echo Loading 3b - tochev71 (finished) &amp; curl --stderr stderr.log -s -S -H "Cookie: USERID=36964; PASSWORD=LQrxFeMoLxg3." "http://dailygammon.com/bg/user/17562?active=1&amp;finished=1&amp;sort_win_loss=0&amp;days_to_view=150" &gt;%d%\3b\finished_%ts%_3b_tochev71-17562.html</v>
      </c>
    </row>
    <row r="55" spans="1:5" hidden="1" x14ac:dyDescent="0.35">
      <c r="A55" t="str">
        <f>Members!D51</f>
        <v>3b</v>
      </c>
      <c r="B55" t="str">
        <f>Members!J51</f>
        <v>Uli1001</v>
      </c>
      <c r="C55">
        <f>Members!K51</f>
        <v>18866</v>
      </c>
      <c r="D55" t="str">
        <f>Members!H51</f>
        <v>x</v>
      </c>
      <c r="E55" t="str">
        <f t="shared" si="0"/>
        <v>mkdir %d%\3b 2&gt;NUL &amp; echo Loading 3b - Uli1001 (finished) &amp; curl --stderr stderr.log -s -S -H "Cookie: USERID=36964; PASSWORD=LQrxFeMoLxg3." "http://dailygammon.com/bg/user/18866?active=1&amp;finished=1&amp;sort_win_loss=0&amp;days_to_view=150" &gt;%d%\3b\finished_%ts%_3b_Uli1001-18866.html</v>
      </c>
    </row>
    <row r="56" spans="1:5" hidden="1" x14ac:dyDescent="0.35">
      <c r="A56" t="str">
        <f>Members!D52</f>
        <v>3c</v>
      </c>
      <c r="B56" t="str">
        <f>Members!J52</f>
        <v>coloman</v>
      </c>
      <c r="C56">
        <f>Members!K52</f>
        <v>21821</v>
      </c>
      <c r="D56" t="str">
        <f>Members!H52</f>
        <v>x</v>
      </c>
      <c r="E56" t="str">
        <f t="shared" si="0"/>
        <v>mkdir %d%\3c 2&gt;NUL &amp; echo Loading 3c - coloman (finished) &amp; curl --stderr stderr.log -s -S -H "Cookie: USERID=36964; PASSWORD=LQrxFeMoLxg3." "http://dailygammon.com/bg/user/21821?active=1&amp;finished=1&amp;sort_win_loss=0&amp;days_to_view=150" &gt;%d%\3c\finished_%ts%_3c_coloman-21821.html</v>
      </c>
    </row>
    <row r="57" spans="1:5" hidden="1" x14ac:dyDescent="0.35">
      <c r="A57" t="str">
        <f>Members!D53</f>
        <v>3c</v>
      </c>
      <c r="B57" t="str">
        <f>Members!J53</f>
        <v>CovGamSirius</v>
      </c>
      <c r="C57">
        <f>Members!K53</f>
        <v>20696</v>
      </c>
      <c r="D57" t="str">
        <f>Members!H53</f>
        <v>x</v>
      </c>
      <c r="E57" t="str">
        <f t="shared" si="0"/>
        <v>mkdir %d%\3c 2&gt;NUL &amp; echo Loading 3c - CovGamSirius (finished) &amp; curl --stderr stderr.log -s -S -H "Cookie: USERID=36964; PASSWORD=LQrxFeMoLxg3." "http://dailygammon.com/bg/user/20696?active=1&amp;finished=1&amp;sort_win_loss=0&amp;days_to_view=150" &gt;%d%\3c\finished_%ts%_3c_CovGamSirius-20696.html</v>
      </c>
    </row>
    <row r="58" spans="1:5" x14ac:dyDescent="0.35">
      <c r="A58" t="str">
        <f>Members!D54</f>
        <v>3c</v>
      </c>
      <c r="B58" t="str">
        <f>Members!J54</f>
        <v>EU-BNL-verding</v>
      </c>
      <c r="C58">
        <f>Members!K54</f>
        <v>3719</v>
      </c>
      <c r="D58">
        <f>Members!H54</f>
        <v>0</v>
      </c>
      <c r="E58" t="str">
        <f t="shared" si="0"/>
        <v>mkdir %d%\3c 2&gt;NUL &amp; echo Loading 3c - EU-BNL-verding &amp; curl --stderr stderr.log -s -S -H "Cookie: USERID=36964; PASSWORD=LQrxFeMoLxg3." "http://dailygammon.com/bg/user/3719?active=1&amp;finished=1&amp;sort_win_loss=0&amp;days_to_view=150" &gt;%d%\3c\%ts%_3c_EU-BNL-verding-3719.html</v>
      </c>
    </row>
    <row r="59" spans="1:5" x14ac:dyDescent="0.35">
      <c r="A59" t="str">
        <f>Members!D55</f>
        <v>3c</v>
      </c>
      <c r="B59" t="str">
        <f>Members!J55</f>
        <v>Hendry</v>
      </c>
      <c r="C59">
        <f>Members!K55</f>
        <v>7477</v>
      </c>
      <c r="D59" t="str">
        <f>Members!H55</f>
        <v>x</v>
      </c>
      <c r="E59" t="str">
        <f t="shared" si="0"/>
        <v>mkdir %d%\3c 2&gt;NUL &amp; echo Loading 3c - Hendry (finished) &amp; curl --stderr stderr.log -s -S -H "Cookie: USERID=36964; PASSWORD=LQrxFeMoLxg3." "http://dailygammon.com/bg/user/7477?active=1&amp;finished=1&amp;sort_win_loss=0&amp;days_to_view=150" &gt;%d%\3c\finished_%ts%_3c_Hendry-7477.html</v>
      </c>
    </row>
    <row r="60" spans="1:5" hidden="1" x14ac:dyDescent="0.35">
      <c r="A60" t="str">
        <f>Members!D56</f>
        <v>3c</v>
      </c>
      <c r="B60" t="str">
        <f>Members!J56</f>
        <v>JimO</v>
      </c>
      <c r="C60">
        <f>Members!K56</f>
        <v>18993</v>
      </c>
      <c r="D60" t="str">
        <f>Members!H56</f>
        <v>x</v>
      </c>
      <c r="E60" t="str">
        <f t="shared" si="0"/>
        <v>mkdir %d%\3c 2&gt;NUL &amp; echo Loading 3c - JimO (finished) &amp; curl --stderr stderr.log -s -S -H "Cookie: USERID=36964; PASSWORD=LQrxFeMoLxg3." "http://dailygammon.com/bg/user/18993?active=1&amp;finished=1&amp;sort_win_loss=0&amp;days_to_view=150" &gt;%d%\3c\finished_%ts%_3c_JimO-18993.html</v>
      </c>
    </row>
    <row r="61" spans="1:5" x14ac:dyDescent="0.35">
      <c r="A61" t="str">
        <f>Members!D57</f>
        <v>3c</v>
      </c>
      <c r="B61" t="str">
        <f>Members!J57</f>
        <v>Jordan</v>
      </c>
      <c r="C61">
        <f>Members!K57</f>
        <v>1</v>
      </c>
      <c r="D61">
        <f>Members!H57</f>
        <v>0</v>
      </c>
      <c r="E61" t="str">
        <f t="shared" si="0"/>
        <v>mkdir %d%\3c 2&gt;NUL &amp; echo Loading 3c - Jordan &amp; curl --stderr stderr.log -s -S -H "Cookie: USERID=36964; PASSWORD=LQrxFeMoLxg3." "http://dailygammon.com/bg/user/1?active=1&amp;finished=1&amp;sort_win_loss=0&amp;days_to_view=150" &gt;%d%\3c\%ts%_3c_Jordan-1.html</v>
      </c>
    </row>
    <row r="62" spans="1:5" hidden="1" x14ac:dyDescent="0.35">
      <c r="A62" t="str">
        <f>Members!D58</f>
        <v>3c</v>
      </c>
      <c r="B62" t="str">
        <f>Members!J58</f>
        <v>matte.macchiato</v>
      </c>
      <c r="C62">
        <f>Members!K58</f>
        <v>26299</v>
      </c>
      <c r="D62" t="str">
        <f>Members!H58</f>
        <v>x</v>
      </c>
      <c r="E62" t="str">
        <f t="shared" si="0"/>
        <v>mkdir %d%\3c 2&gt;NUL &amp; echo Loading 3c - matte.macchiato (finished) &amp; curl --stderr stderr.log -s -S -H "Cookie: USERID=36964; PASSWORD=LQrxFeMoLxg3." "http://dailygammon.com/bg/user/26299?active=1&amp;finished=1&amp;sort_win_loss=0&amp;days_to_view=150" &gt;%d%\3c\finished_%ts%_3c_matte.macchiato-26299.html</v>
      </c>
    </row>
    <row r="63" spans="1:5" hidden="1" x14ac:dyDescent="0.35">
      <c r="A63" t="str">
        <f>Members!D59</f>
        <v>3c</v>
      </c>
      <c r="B63" t="str">
        <f>Members!J59</f>
        <v>ReggiePerrin</v>
      </c>
      <c r="C63">
        <f>Members!K59</f>
        <v>19359</v>
      </c>
      <c r="D63">
        <f>Members!H59</f>
        <v>0</v>
      </c>
      <c r="E63" t="str">
        <f t="shared" si="0"/>
        <v>mkdir %d%\3c 2&gt;NUL &amp; echo Loading 3c - ReggiePerrin &amp; curl --stderr stderr.log -s -S -H "Cookie: USERID=36964; PASSWORD=LQrxFeMoLxg3." "http://dailygammon.com/bg/user/19359?active=1&amp;finished=1&amp;sort_win_loss=0&amp;days_to_view=150" &gt;%d%\3c\%ts%_3c_ReggiePerrin-19359.html</v>
      </c>
    </row>
    <row r="64" spans="1:5" x14ac:dyDescent="0.35">
      <c r="A64" t="str">
        <f>Members!D60</f>
        <v>3c</v>
      </c>
      <c r="B64" t="str">
        <f>Members!J60</f>
        <v>Steinlaus</v>
      </c>
      <c r="C64">
        <f>Members!K60</f>
        <v>21083</v>
      </c>
      <c r="D64" t="str">
        <f>Members!H60</f>
        <v>x</v>
      </c>
      <c r="E64" t="str">
        <f t="shared" si="0"/>
        <v>mkdir %d%\3c 2&gt;NUL &amp; echo Loading 3c - Steinlaus (finished) &amp; curl --stderr stderr.log -s -S -H "Cookie: USERID=36964; PASSWORD=LQrxFeMoLxg3." "http://dailygammon.com/bg/user/21083?active=1&amp;finished=1&amp;sort_win_loss=0&amp;days_to_view=150" &gt;%d%\3c\finished_%ts%_3c_Steinlaus-21083.html</v>
      </c>
    </row>
    <row r="65" spans="1:7" hidden="1" x14ac:dyDescent="0.35">
      <c r="A65" t="str">
        <f>Members!D61</f>
        <v>3c</v>
      </c>
      <c r="B65" t="str">
        <f>Members!J61</f>
        <v>Turz</v>
      </c>
      <c r="C65">
        <f>Members!K61</f>
        <v>21648</v>
      </c>
      <c r="D65" t="str">
        <f>Members!H61</f>
        <v>x</v>
      </c>
      <c r="E65" t="str">
        <f t="shared" si="0"/>
        <v>mkdir %d%\3c 2&gt;NUL &amp; echo Loading 3c - Turz (finished) &amp; curl --stderr stderr.log -s -S -H "Cookie: USERID=36964; PASSWORD=LQrxFeMoLxg3." "http://dailygammon.com/bg/user/21648?active=1&amp;finished=1&amp;sort_win_loss=0&amp;days_to_view=150" &gt;%d%\3c\finished_%ts%_3c_Turz-21648.html</v>
      </c>
    </row>
    <row r="66" spans="1:7" hidden="1" x14ac:dyDescent="0.35">
      <c r="A66" t="str">
        <f>Members!D62</f>
        <v>4a</v>
      </c>
      <c r="B66" t="str">
        <f>Members!J62</f>
        <v>andrgr</v>
      </c>
      <c r="C66">
        <f>Members!K62</f>
        <v>22416</v>
      </c>
      <c r="D66">
        <f>Members!H62</f>
        <v>0</v>
      </c>
      <c r="E66" t="str">
        <f t="shared" si="0"/>
        <v>mkdir %d%\4a 2&gt;NUL &amp; echo Loading 4a - andrgr &amp; curl --stderr stderr.log -s -S -H "Cookie: USERID=36964; PASSWORD=LQrxFeMoLxg3." "http://dailygammon.com/bg/user/22416?active=1&amp;finished=1&amp;sort_win_loss=0&amp;days_to_view=150" &gt;%d%\4a\%ts%_4a_andrgr-22416.html</v>
      </c>
    </row>
    <row r="67" spans="1:7" hidden="1" x14ac:dyDescent="0.35">
      <c r="A67" t="str">
        <f>Members!D63</f>
        <v>4a</v>
      </c>
      <c r="B67" t="str">
        <f>Members!J63</f>
        <v>Beldarren</v>
      </c>
      <c r="C67">
        <f>Members!K63</f>
        <v>532</v>
      </c>
      <c r="D67">
        <f>Members!H63</f>
        <v>0</v>
      </c>
      <c r="E67" t="str">
        <f t="shared" si="0"/>
        <v>mkdir %d%\4a 2&gt;NUL &amp; echo Loading 4a - Beldarren &amp; curl --stderr stderr.log -s -S -H "Cookie: USERID=36964; PASSWORD=LQrxFeMoLxg3." "http://dailygammon.com/bg/user/532?active=1&amp;finished=1&amp;sort_win_loss=0&amp;days_to_view=150" &gt;%d%\4a\%ts%_4a_Beldarren-532.html</v>
      </c>
      <c r="G67" t="s">
        <v>54</v>
      </c>
    </row>
    <row r="68" spans="1:7" hidden="1" x14ac:dyDescent="0.35">
      <c r="A68" t="str">
        <f>Members!D64</f>
        <v>4a</v>
      </c>
      <c r="B68" t="str">
        <f>Members!J64</f>
        <v>CaroLinchen</v>
      </c>
      <c r="C68">
        <f>Members!K64</f>
        <v>24760</v>
      </c>
      <c r="D68" t="str">
        <f>Members!H64</f>
        <v>x</v>
      </c>
      <c r="E68" t="str">
        <f t="shared" si="0"/>
        <v>mkdir %d%\4a 2&gt;NUL &amp; echo Loading 4a - CaroLinchen (finished) &amp; curl --stderr stderr.log -s -S -H "Cookie: USERID=36964; PASSWORD=LQrxFeMoLxg3." "http://dailygammon.com/bg/user/24760?active=1&amp;finished=1&amp;sort_win_loss=0&amp;days_to_view=150" &gt;%d%\4a\finished_%ts%_4a_CaroLinchen-24760.html</v>
      </c>
    </row>
    <row r="69" spans="1:7" hidden="1" x14ac:dyDescent="0.35">
      <c r="A69" t="str">
        <f>Members!D65</f>
        <v>4a</v>
      </c>
      <c r="B69" t="str">
        <f>Members!J65</f>
        <v>coolsuit</v>
      </c>
      <c r="C69">
        <f>Members!K65</f>
        <v>21950</v>
      </c>
      <c r="D69" t="str">
        <f>Members!H65</f>
        <v>x</v>
      </c>
      <c r="E69" t="str">
        <f t="shared" si="0"/>
        <v>mkdir %d%\4a 2&gt;NUL &amp; echo Loading 4a - coolsuit (finished) &amp; curl --stderr stderr.log -s -S -H "Cookie: USERID=36964; PASSWORD=LQrxFeMoLxg3." "http://dailygammon.com/bg/user/21950?active=1&amp;finished=1&amp;sort_win_loss=0&amp;days_to_view=150" &gt;%d%\4a\finished_%ts%_4a_coolsuit-21950.html</v>
      </c>
    </row>
    <row r="70" spans="1:7" hidden="1" x14ac:dyDescent="0.35">
      <c r="A70" t="str">
        <f>Members!D66</f>
        <v>4a</v>
      </c>
      <c r="B70" t="str">
        <f>Members!J66</f>
        <v>Darkmavis</v>
      </c>
      <c r="C70">
        <f>Members!K66</f>
        <v>29269</v>
      </c>
      <c r="D70" t="str">
        <f>Members!H66</f>
        <v>x</v>
      </c>
      <c r="E70" t="str">
        <f t="shared" si="0"/>
        <v>mkdir %d%\4a 2&gt;NUL &amp; echo Loading 4a - Darkmavis (finished) &amp; curl --stderr stderr.log -s -S -H "Cookie: USERID=36964; PASSWORD=LQrxFeMoLxg3." "http://dailygammon.com/bg/user/29269?active=1&amp;finished=1&amp;sort_win_loss=0&amp;days_to_view=150" &gt;%d%\4a\finished_%ts%_4a_Darkmavis-29269.html</v>
      </c>
    </row>
    <row r="71" spans="1:7" hidden="1" x14ac:dyDescent="0.35">
      <c r="A71" t="str">
        <f>Members!D67</f>
        <v>4a</v>
      </c>
      <c r="B71" t="str">
        <f>Members!J67</f>
        <v>H2O</v>
      </c>
      <c r="C71">
        <f>Members!K67</f>
        <v>13263</v>
      </c>
      <c r="D71">
        <f>Members!H67</f>
        <v>0</v>
      </c>
      <c r="E71" t="str">
        <f t="shared" ref="E71:E134" si="1">"mkdir %d%\" &amp; A71 &amp; " 2&gt;NUL &amp; echo Loading " &amp; A71 &amp; " - " &amp; B71 &amp; IF(D71&lt;&gt;"x",""," (finished)") &amp; " &amp; curl --stderr stderr.log -s -S -H ""Cookie: USERID=36964; PASSWORD=LQrxFeMoLxg3."" ""http://dailygammon.com/bg/user/" &amp; C71 &amp; "?active=1&amp;finished=1&amp;sort_win_loss=0&amp;days_to_view=150"" &gt;%d%\" &amp; A71 &amp; "\" &amp; IF(D71&lt;&gt;"x","","finished_") &amp; "%ts%_" &amp; A71 &amp; "_" &amp; SUBSTITUTE(B71," ","_") &amp; "-" &amp; C71 &amp; ".html"</f>
        <v>mkdir %d%\4a 2&gt;NUL &amp; echo Loading 4a - H2O &amp; curl --stderr stderr.log -s -S -H "Cookie: USERID=36964; PASSWORD=LQrxFeMoLxg3." "http://dailygammon.com/bg/user/13263?active=1&amp;finished=1&amp;sort_win_loss=0&amp;days_to_view=150" &gt;%d%\4a\%ts%_4a_H2O-13263.html</v>
      </c>
      <c r="G71" t="s">
        <v>54</v>
      </c>
    </row>
    <row r="72" spans="1:7" hidden="1" x14ac:dyDescent="0.35">
      <c r="A72" t="str">
        <f>Members!D68</f>
        <v>4a</v>
      </c>
      <c r="B72" t="str">
        <f>Members!J68</f>
        <v>Helmut2398</v>
      </c>
      <c r="C72">
        <f>Members!K68</f>
        <v>26739</v>
      </c>
      <c r="D72" t="str">
        <f>Members!H68</f>
        <v>x</v>
      </c>
      <c r="E72" t="str">
        <f t="shared" si="1"/>
        <v>mkdir %d%\4a 2&gt;NUL &amp; echo Loading 4a - Helmut2398 (finished) &amp; curl --stderr stderr.log -s -S -H "Cookie: USERID=36964; PASSWORD=LQrxFeMoLxg3." "http://dailygammon.com/bg/user/26739?active=1&amp;finished=1&amp;sort_win_loss=0&amp;days_to_view=150" &gt;%d%\4a\finished_%ts%_4a_Helmut2398-26739.html</v>
      </c>
    </row>
    <row r="73" spans="1:7" hidden="1" x14ac:dyDescent="0.35">
      <c r="A73" t="str">
        <f>Members!D69</f>
        <v>4a</v>
      </c>
      <c r="B73" t="str">
        <f>Members!J69</f>
        <v>MauiJOY</v>
      </c>
      <c r="C73">
        <f>Members!K69</f>
        <v>3787</v>
      </c>
      <c r="D73" t="str">
        <f>Members!H69</f>
        <v>x</v>
      </c>
      <c r="E73" t="str">
        <f t="shared" si="1"/>
        <v>mkdir %d%\4a 2&gt;NUL &amp; echo Loading 4a - MauiJOY (finished) &amp; curl --stderr stderr.log -s -S -H "Cookie: USERID=36964; PASSWORD=LQrxFeMoLxg3." "http://dailygammon.com/bg/user/3787?active=1&amp;finished=1&amp;sort_win_loss=0&amp;days_to_view=150" &gt;%d%\4a\finished_%ts%_4a_MauiJOY-3787.html</v>
      </c>
    </row>
    <row r="74" spans="1:7" hidden="1" x14ac:dyDescent="0.35">
      <c r="A74" t="str">
        <f>Members!D70</f>
        <v>4a</v>
      </c>
      <c r="B74" t="str">
        <f>Members!J70</f>
        <v>Michael Austin</v>
      </c>
      <c r="C74">
        <f>Members!K70</f>
        <v>2115</v>
      </c>
      <c r="D74">
        <f>Members!H70</f>
        <v>0</v>
      </c>
      <c r="E74" t="str">
        <f t="shared" si="1"/>
        <v>mkdir %d%\4a 2&gt;NUL &amp; echo Loading 4a - Michael Austin &amp; curl --stderr stderr.log -s -S -H "Cookie: USERID=36964; PASSWORD=LQrxFeMoLxg3." "http://dailygammon.com/bg/user/2115?active=1&amp;finished=1&amp;sort_win_loss=0&amp;days_to_view=150" &gt;%d%\4a\%ts%_4a_Michael_Austin-2115.html</v>
      </c>
    </row>
    <row r="75" spans="1:7" hidden="1" x14ac:dyDescent="0.35">
      <c r="A75" t="str">
        <f>Members!D71</f>
        <v>4a</v>
      </c>
      <c r="B75" t="str">
        <f>Members!J71</f>
        <v>riwa</v>
      </c>
      <c r="C75">
        <f>Members!K71</f>
        <v>28181</v>
      </c>
      <c r="D75" t="str">
        <f>Members!H71</f>
        <v>x</v>
      </c>
      <c r="E75" t="str">
        <f t="shared" si="1"/>
        <v>mkdir %d%\4a 2&gt;NUL &amp; echo Loading 4a - riwa (finished) &amp; curl --stderr stderr.log -s -S -H "Cookie: USERID=36964; PASSWORD=LQrxFeMoLxg3." "http://dailygammon.com/bg/user/28181?active=1&amp;finished=1&amp;sort_win_loss=0&amp;days_to_view=150" &gt;%d%\4a\finished_%ts%_4a_riwa-28181.html</v>
      </c>
      <c r="G75" t="s">
        <v>54</v>
      </c>
    </row>
    <row r="76" spans="1:7" hidden="1" x14ac:dyDescent="0.35">
      <c r="A76" t="str">
        <f>Members!D72</f>
        <v>4b</v>
      </c>
      <c r="B76" t="str">
        <f>Members!J72</f>
        <v>Acerkatsura</v>
      </c>
      <c r="C76">
        <f>Members!K72</f>
        <v>36610</v>
      </c>
      <c r="D76">
        <f>Members!H72</f>
        <v>0</v>
      </c>
      <c r="E76" t="str">
        <f t="shared" si="1"/>
        <v>mkdir %d%\4b 2&gt;NUL &amp; echo Loading 4b - Acerkatsura &amp; curl --stderr stderr.log -s -S -H "Cookie: USERID=36964; PASSWORD=LQrxFeMoLxg3." "http://dailygammon.com/bg/user/36610?active=1&amp;finished=1&amp;sort_win_loss=0&amp;days_to_view=150" &gt;%d%\4b\%ts%_4b_Acerkatsura-36610.html</v>
      </c>
    </row>
    <row r="77" spans="1:7" hidden="1" x14ac:dyDescent="0.35">
      <c r="A77" t="str">
        <f>Members!D73</f>
        <v>4b</v>
      </c>
      <c r="B77" t="str">
        <f>Members!J73</f>
        <v>backin29</v>
      </c>
      <c r="C77">
        <f>Members!K73</f>
        <v>40804</v>
      </c>
      <c r="D77" t="str">
        <f>Members!H73</f>
        <v>x</v>
      </c>
      <c r="E77" t="str">
        <f t="shared" si="1"/>
        <v>mkdir %d%\4b 2&gt;NUL &amp; echo Loading 4b - backin29 (finished) &amp; curl --stderr stderr.log -s -S -H "Cookie: USERID=36964; PASSWORD=LQrxFeMoLxg3." "http://dailygammon.com/bg/user/40804?active=1&amp;finished=1&amp;sort_win_loss=0&amp;days_to_view=150" &gt;%d%\4b\finished_%ts%_4b_backin29-40804.html</v>
      </c>
    </row>
    <row r="78" spans="1:7" hidden="1" x14ac:dyDescent="0.35">
      <c r="A78" t="str">
        <f>Members!D74</f>
        <v>4b</v>
      </c>
      <c r="B78" t="str">
        <f>Members!J74</f>
        <v>feuillesmortes</v>
      </c>
      <c r="C78">
        <f>Members!K74</f>
        <v>28804</v>
      </c>
      <c r="D78" t="str">
        <f>Members!H74</f>
        <v>x</v>
      </c>
      <c r="E78" t="str">
        <f t="shared" si="1"/>
        <v>mkdir %d%\4b 2&gt;NUL &amp; echo Loading 4b - feuillesmortes (finished) &amp; curl --stderr stderr.log -s -S -H "Cookie: USERID=36964; PASSWORD=LQrxFeMoLxg3." "http://dailygammon.com/bg/user/28804?active=1&amp;finished=1&amp;sort_win_loss=0&amp;days_to_view=150" &gt;%d%\4b\finished_%ts%_4b_feuillesmortes-28804.html</v>
      </c>
    </row>
    <row r="79" spans="1:7" hidden="1" x14ac:dyDescent="0.35">
      <c r="A79" t="str">
        <f>Members!D75</f>
        <v>4b</v>
      </c>
      <c r="B79" t="str">
        <f>Members!J75</f>
        <v>Freddie Sorensen</v>
      </c>
      <c r="C79">
        <f>Members!K75</f>
        <v>12166</v>
      </c>
      <c r="D79">
        <f>Members!H75</f>
        <v>0</v>
      </c>
      <c r="E79" t="str">
        <f t="shared" si="1"/>
        <v>mkdir %d%\4b 2&gt;NUL &amp; echo Loading 4b - Freddie Sorensen &amp; curl --stderr stderr.log -s -S -H "Cookie: USERID=36964; PASSWORD=LQrxFeMoLxg3." "http://dailygammon.com/bg/user/12166?active=1&amp;finished=1&amp;sort_win_loss=0&amp;days_to_view=150" &gt;%d%\4b\%ts%_4b_Freddie_Sorensen-12166.html</v>
      </c>
    </row>
    <row r="80" spans="1:7" hidden="1" x14ac:dyDescent="0.35">
      <c r="A80" t="str">
        <f>Members!D76</f>
        <v>4b</v>
      </c>
      <c r="B80" t="str">
        <f>Members!J76</f>
        <v>LeMatelot</v>
      </c>
      <c r="C80">
        <f>Members!K76</f>
        <v>19453</v>
      </c>
      <c r="D80">
        <f>Members!H76</f>
        <v>0</v>
      </c>
      <c r="E80" t="str">
        <f t="shared" si="1"/>
        <v>mkdir %d%\4b 2&gt;NUL &amp; echo Loading 4b - LeMatelot &amp; curl --stderr stderr.log -s -S -H "Cookie: USERID=36964; PASSWORD=LQrxFeMoLxg3." "http://dailygammon.com/bg/user/19453?active=1&amp;finished=1&amp;sort_win_loss=0&amp;days_to_view=150" &gt;%d%\4b\%ts%_4b_LeMatelot-19453.html</v>
      </c>
    </row>
    <row r="81" spans="1:5" hidden="1" x14ac:dyDescent="0.35">
      <c r="A81" t="str">
        <f>Members!D77</f>
        <v>4b</v>
      </c>
      <c r="B81" t="str">
        <f>Members!J77</f>
        <v>mors</v>
      </c>
      <c r="C81">
        <f>Members!K77</f>
        <v>3678</v>
      </c>
      <c r="D81">
        <f>Members!H77</f>
        <v>0</v>
      </c>
      <c r="E81" t="str">
        <f t="shared" si="1"/>
        <v>mkdir %d%\4b 2&gt;NUL &amp; echo Loading 4b - mors &amp; curl --stderr stderr.log -s -S -H "Cookie: USERID=36964; PASSWORD=LQrxFeMoLxg3." "http://dailygammon.com/bg/user/3678?active=1&amp;finished=1&amp;sort_win_loss=0&amp;days_to_view=150" &gt;%d%\4b\%ts%_4b_mors-3678.html</v>
      </c>
    </row>
    <row r="82" spans="1:5" hidden="1" x14ac:dyDescent="0.35">
      <c r="A82" t="str">
        <f>Members!D78</f>
        <v>4b</v>
      </c>
      <c r="B82" t="str">
        <f>Members!J78</f>
        <v>pentax</v>
      </c>
      <c r="C82">
        <f>Members!K78</f>
        <v>19680</v>
      </c>
      <c r="D82" t="str">
        <f>Members!H78</f>
        <v>x</v>
      </c>
      <c r="E82" t="str">
        <f t="shared" si="1"/>
        <v>mkdir %d%\4b 2&gt;NUL &amp; echo Loading 4b - pentax (finished) &amp; curl --stderr stderr.log -s -S -H "Cookie: USERID=36964; PASSWORD=LQrxFeMoLxg3." "http://dailygammon.com/bg/user/19680?active=1&amp;finished=1&amp;sort_win_loss=0&amp;days_to_view=150" &gt;%d%\4b\finished_%ts%_4b_pentax-19680.html</v>
      </c>
    </row>
    <row r="83" spans="1:5" hidden="1" x14ac:dyDescent="0.35">
      <c r="A83" t="str">
        <f>Members!D79</f>
        <v>4b</v>
      </c>
      <c r="B83" t="str">
        <f>Members!J79</f>
        <v>prado</v>
      </c>
      <c r="C83">
        <f>Members!K79</f>
        <v>4692</v>
      </c>
      <c r="D83" t="str">
        <f>Members!H79</f>
        <v>x</v>
      </c>
      <c r="E83" t="str">
        <f t="shared" si="1"/>
        <v>mkdir %d%\4b 2&gt;NUL &amp; echo Loading 4b - prado (finished) &amp; curl --stderr stderr.log -s -S -H "Cookie: USERID=36964; PASSWORD=LQrxFeMoLxg3." "http://dailygammon.com/bg/user/4692?active=1&amp;finished=1&amp;sort_win_loss=0&amp;days_to_view=150" &gt;%d%\4b\finished_%ts%_4b_prado-4692.html</v>
      </c>
    </row>
    <row r="84" spans="1:5" hidden="1" x14ac:dyDescent="0.35">
      <c r="A84" t="str">
        <f>Members!D80</f>
        <v>4b</v>
      </c>
      <c r="B84" t="str">
        <f>Members!J80</f>
        <v>sun</v>
      </c>
      <c r="C84">
        <f>Members!K80</f>
        <v>7768</v>
      </c>
      <c r="D84" t="str">
        <f>Members!H80</f>
        <v>x</v>
      </c>
      <c r="E84" t="str">
        <f t="shared" si="1"/>
        <v>mkdir %d%\4b 2&gt;NUL &amp; echo Loading 4b - sun (finished) &amp; curl --stderr stderr.log -s -S -H "Cookie: USERID=36964; PASSWORD=LQrxFeMoLxg3." "http://dailygammon.com/bg/user/7768?active=1&amp;finished=1&amp;sort_win_loss=0&amp;days_to_view=150" &gt;%d%\4b\finished_%ts%_4b_sun-7768.html</v>
      </c>
    </row>
    <row r="85" spans="1:5" hidden="1" x14ac:dyDescent="0.35">
      <c r="A85" t="str">
        <f>Members!D81</f>
        <v>4b</v>
      </c>
      <c r="B85" t="str">
        <f>Members!J81</f>
        <v>TraceRacing</v>
      </c>
      <c r="C85">
        <f>Members!K81</f>
        <v>1236</v>
      </c>
      <c r="D85" t="str">
        <f>Members!H81</f>
        <v>x</v>
      </c>
      <c r="E85" t="str">
        <f t="shared" si="1"/>
        <v>mkdir %d%\4b 2&gt;NUL &amp; echo Loading 4b - TraceRacing (finished) &amp; curl --stderr stderr.log -s -S -H "Cookie: USERID=36964; PASSWORD=LQrxFeMoLxg3." "http://dailygammon.com/bg/user/1236?active=1&amp;finished=1&amp;sort_win_loss=0&amp;days_to_view=150" &gt;%d%\4b\finished_%ts%_4b_TraceRacing-1236.html</v>
      </c>
    </row>
    <row r="86" spans="1:5" x14ac:dyDescent="0.35">
      <c r="A86" t="str">
        <f>Members!D82</f>
        <v>4c</v>
      </c>
      <c r="B86" t="str">
        <f>Members!J82</f>
        <v>2yellow4u</v>
      </c>
      <c r="C86">
        <f>Members!K82</f>
        <v>32667</v>
      </c>
      <c r="D86" t="str">
        <f>Members!H82</f>
        <v>x</v>
      </c>
      <c r="E86" t="str">
        <f t="shared" si="1"/>
        <v>mkdir %d%\4c 2&gt;NUL &amp; echo Loading 4c - 2yellow4u (finished) &amp; curl --stderr stderr.log -s -S -H "Cookie: USERID=36964; PASSWORD=LQrxFeMoLxg3." "http://dailygammon.com/bg/user/32667?active=1&amp;finished=1&amp;sort_win_loss=0&amp;days_to_view=150" &gt;%d%\4c\finished_%ts%_4c_2yellow4u-32667.html</v>
      </c>
    </row>
    <row r="87" spans="1:5" hidden="1" x14ac:dyDescent="0.35">
      <c r="A87" t="str">
        <f>Members!D83</f>
        <v>4c</v>
      </c>
      <c r="B87" t="str">
        <f>Members!J83</f>
        <v>aeons</v>
      </c>
      <c r="C87">
        <f>Members!K83</f>
        <v>225</v>
      </c>
      <c r="D87" t="str">
        <f>Members!H83</f>
        <v>x</v>
      </c>
      <c r="E87" t="str">
        <f t="shared" si="1"/>
        <v>mkdir %d%\4c 2&gt;NUL &amp; echo Loading 4c - aeons (finished) &amp; curl --stderr stderr.log -s -S -H "Cookie: USERID=36964; PASSWORD=LQrxFeMoLxg3." "http://dailygammon.com/bg/user/225?active=1&amp;finished=1&amp;sort_win_loss=0&amp;days_to_view=150" &gt;%d%\4c\finished_%ts%_4c_aeons-225.html</v>
      </c>
    </row>
    <row r="88" spans="1:5" x14ac:dyDescent="0.35">
      <c r="A88" t="str">
        <f>Members!D84</f>
        <v>4c</v>
      </c>
      <c r="B88" t="str">
        <f>Members!J84</f>
        <v>Ankou</v>
      </c>
      <c r="C88">
        <f>Members!K84</f>
        <v>25765</v>
      </c>
      <c r="D88">
        <f>Members!H84</f>
        <v>0</v>
      </c>
      <c r="E88" t="str">
        <f t="shared" si="1"/>
        <v>mkdir %d%\4c 2&gt;NUL &amp; echo Loading 4c - Ankou &amp; curl --stderr stderr.log -s -S -H "Cookie: USERID=36964; PASSWORD=LQrxFeMoLxg3." "http://dailygammon.com/bg/user/25765?active=1&amp;finished=1&amp;sort_win_loss=0&amp;days_to_view=150" &gt;%d%\4c\%ts%_4c_Ankou-25765.html</v>
      </c>
    </row>
    <row r="89" spans="1:5" x14ac:dyDescent="0.35">
      <c r="A89" t="str">
        <f>Members!D85</f>
        <v>4c</v>
      </c>
      <c r="B89" t="str">
        <f>Members!J85</f>
        <v>bloodaxe</v>
      </c>
      <c r="C89">
        <f>Members!K85</f>
        <v>13175</v>
      </c>
      <c r="D89">
        <f>Members!H85</f>
        <v>0</v>
      </c>
      <c r="E89" t="str">
        <f t="shared" si="1"/>
        <v>mkdir %d%\4c 2&gt;NUL &amp; echo Loading 4c - bloodaxe &amp; curl --stderr stderr.log -s -S -H "Cookie: USERID=36964; PASSWORD=LQrxFeMoLxg3." "http://dailygammon.com/bg/user/13175?active=1&amp;finished=1&amp;sort_win_loss=0&amp;days_to_view=150" &gt;%d%\4c\%ts%_4c_bloodaxe-13175.html</v>
      </c>
    </row>
    <row r="90" spans="1:5" hidden="1" x14ac:dyDescent="0.35">
      <c r="A90" t="str">
        <f>Members!D86</f>
        <v>4c</v>
      </c>
      <c r="B90" t="str">
        <f>Members!J86</f>
        <v>Captain Jack Sparrow</v>
      </c>
      <c r="C90">
        <f>Members!K86</f>
        <v>21200</v>
      </c>
      <c r="D90">
        <f>Members!H86</f>
        <v>0</v>
      </c>
      <c r="E90" t="str">
        <f t="shared" si="1"/>
        <v>mkdir %d%\4c 2&gt;NUL &amp; echo Loading 4c - Captain Jack Sparrow &amp; curl --stderr stderr.log -s -S -H "Cookie: USERID=36964; PASSWORD=LQrxFeMoLxg3." "http://dailygammon.com/bg/user/21200?active=1&amp;finished=1&amp;sort_win_loss=0&amp;days_to_view=150" &gt;%d%\4c\%ts%_4c_Captain_Jack_Sparrow-21200.html</v>
      </c>
    </row>
    <row r="91" spans="1:5" hidden="1" x14ac:dyDescent="0.35">
      <c r="A91" t="str">
        <f>Members!D87</f>
        <v>4c</v>
      </c>
      <c r="B91" t="str">
        <f>Members!J87</f>
        <v>Chapsy</v>
      </c>
      <c r="C91">
        <f>Members!K87</f>
        <v>41626</v>
      </c>
      <c r="D91" t="str">
        <f>Members!H87</f>
        <v>x</v>
      </c>
      <c r="E91" t="str">
        <f t="shared" si="1"/>
        <v>mkdir %d%\4c 2&gt;NUL &amp; echo Loading 4c - Chapsy (finished) &amp; curl --stderr stderr.log -s -S -H "Cookie: USERID=36964; PASSWORD=LQrxFeMoLxg3." "http://dailygammon.com/bg/user/41626?active=1&amp;finished=1&amp;sort_win_loss=0&amp;days_to_view=150" &gt;%d%\4c\finished_%ts%_4c_Chapsy-41626.html</v>
      </c>
    </row>
    <row r="92" spans="1:5" x14ac:dyDescent="0.35">
      <c r="A92" t="str">
        <f>Members!D88</f>
        <v>4c</v>
      </c>
      <c r="B92" t="str">
        <f>Members!J88</f>
        <v>cornishgal</v>
      </c>
      <c r="C92">
        <f>Members!K88</f>
        <v>29852</v>
      </c>
      <c r="D92" t="str">
        <f>Members!H88</f>
        <v>x</v>
      </c>
      <c r="E92" t="str">
        <f t="shared" si="1"/>
        <v>mkdir %d%\4c 2&gt;NUL &amp; echo Loading 4c - cornishgal (finished) &amp; curl --stderr stderr.log -s -S -H "Cookie: USERID=36964; PASSWORD=LQrxFeMoLxg3." "http://dailygammon.com/bg/user/29852?active=1&amp;finished=1&amp;sort_win_loss=0&amp;days_to_view=150" &gt;%d%\4c\finished_%ts%_4c_cornishgal-29852.html</v>
      </c>
    </row>
    <row r="93" spans="1:5" x14ac:dyDescent="0.35">
      <c r="A93" t="str">
        <f>Members!D89</f>
        <v>4c</v>
      </c>
      <c r="B93" t="str">
        <f>Members!J89</f>
        <v>fokker</v>
      </c>
      <c r="C93">
        <f>Members!K89</f>
        <v>37219</v>
      </c>
      <c r="D93" t="str">
        <f>Members!H89</f>
        <v>x</v>
      </c>
      <c r="E93" t="str">
        <f t="shared" si="1"/>
        <v>mkdir %d%\4c 2&gt;NUL &amp; echo Loading 4c - fokker (finished) &amp; curl --stderr stderr.log -s -S -H "Cookie: USERID=36964; PASSWORD=LQrxFeMoLxg3." "http://dailygammon.com/bg/user/37219?active=1&amp;finished=1&amp;sort_win_loss=0&amp;days_to_view=150" &gt;%d%\4c\finished_%ts%_4c_fokker-37219.html</v>
      </c>
    </row>
    <row r="94" spans="1:5" hidden="1" x14ac:dyDescent="0.35">
      <c r="A94" t="str">
        <f>Members!D90</f>
        <v>4c</v>
      </c>
      <c r="B94" t="str">
        <f>Members!J90</f>
        <v>jerbear29</v>
      </c>
      <c r="C94">
        <f>Members!K90</f>
        <v>33394</v>
      </c>
      <c r="D94">
        <f>Members!H90</f>
        <v>0</v>
      </c>
      <c r="E94" t="str">
        <f t="shared" si="1"/>
        <v>mkdir %d%\4c 2&gt;NUL &amp; echo Loading 4c - jerbear29 &amp; curl --stderr stderr.log -s -S -H "Cookie: USERID=36964; PASSWORD=LQrxFeMoLxg3." "http://dailygammon.com/bg/user/33394?active=1&amp;finished=1&amp;sort_win_loss=0&amp;days_to_view=150" &gt;%d%\4c\%ts%_4c_jerbear29-33394.html</v>
      </c>
    </row>
    <row r="95" spans="1:5" x14ac:dyDescent="0.35">
      <c r="A95" t="str">
        <f>Members!D91</f>
        <v>4c</v>
      </c>
      <c r="B95" t="str">
        <f>Members!J91</f>
        <v>PiT</v>
      </c>
      <c r="C95">
        <f>Members!K91</f>
        <v>32684</v>
      </c>
      <c r="D95">
        <f>Members!H91</f>
        <v>0</v>
      </c>
      <c r="E95" t="str">
        <f t="shared" si="1"/>
        <v>mkdir %d%\4c 2&gt;NUL &amp; echo Loading 4c - PiT &amp; curl --stderr stderr.log -s -S -H "Cookie: USERID=36964; PASSWORD=LQrxFeMoLxg3." "http://dailygammon.com/bg/user/32684?active=1&amp;finished=1&amp;sort_win_loss=0&amp;days_to_view=150" &gt;%d%\4c\%ts%_4c_PiT-32684.html</v>
      </c>
    </row>
    <row r="96" spans="1:5" x14ac:dyDescent="0.35">
      <c r="A96" t="str">
        <f>Members!D92</f>
        <v>4d</v>
      </c>
      <c r="B96" t="str">
        <f>Members!J92</f>
        <v>Alex H</v>
      </c>
      <c r="C96">
        <f>Members!K92</f>
        <v>35610</v>
      </c>
      <c r="D96">
        <f>Members!H92</f>
        <v>0</v>
      </c>
      <c r="E96" t="str">
        <f t="shared" si="1"/>
        <v>mkdir %d%\4d 2&gt;NUL &amp; echo Loading 4d - Alex H &amp; curl --stderr stderr.log -s -S -H "Cookie: USERID=36964; PASSWORD=LQrxFeMoLxg3." "http://dailygammon.com/bg/user/35610?active=1&amp;finished=1&amp;sort_win_loss=0&amp;days_to_view=150" &gt;%d%\4d\%ts%_4d_Alex_H-35610.html</v>
      </c>
    </row>
    <row r="97" spans="1:7" hidden="1" x14ac:dyDescent="0.35">
      <c r="A97" t="str">
        <f>Members!D93</f>
        <v>4d</v>
      </c>
      <c r="B97" t="str">
        <f>Members!J93</f>
        <v>Dao</v>
      </c>
      <c r="C97">
        <f>Members!K93</f>
        <v>22415</v>
      </c>
      <c r="D97" t="str">
        <f>Members!H93</f>
        <v>x</v>
      </c>
      <c r="E97" t="str">
        <f t="shared" si="1"/>
        <v>mkdir %d%\4d 2&gt;NUL &amp; echo Loading 4d - Dao (finished) &amp; curl --stderr stderr.log -s -S -H "Cookie: USERID=36964; PASSWORD=LQrxFeMoLxg3." "http://dailygammon.com/bg/user/22415?active=1&amp;finished=1&amp;sort_win_loss=0&amp;days_to_view=150" &gt;%d%\4d\finished_%ts%_4d_Dao-22415.html</v>
      </c>
    </row>
    <row r="98" spans="1:7" hidden="1" x14ac:dyDescent="0.35">
      <c r="A98" t="str">
        <f>Members!D94</f>
        <v>4d</v>
      </c>
      <c r="B98" t="str">
        <f>Members!J94</f>
        <v>hoodie</v>
      </c>
      <c r="C98">
        <f>Members!K94</f>
        <v>11977</v>
      </c>
      <c r="D98" t="str">
        <f>Members!H94</f>
        <v>x</v>
      </c>
      <c r="E98" t="str">
        <f t="shared" si="1"/>
        <v>mkdir %d%\4d 2&gt;NUL &amp; echo Loading 4d - hoodie (finished) &amp; curl --stderr stderr.log -s -S -H "Cookie: USERID=36964; PASSWORD=LQrxFeMoLxg3." "http://dailygammon.com/bg/user/11977?active=1&amp;finished=1&amp;sort_win_loss=0&amp;days_to_view=150" &gt;%d%\4d\finished_%ts%_4d_hoodie-11977.html</v>
      </c>
    </row>
    <row r="99" spans="1:7" hidden="1" x14ac:dyDescent="0.35">
      <c r="A99" t="str">
        <f>Members!D95</f>
        <v>4d</v>
      </c>
      <c r="B99" t="str">
        <f>Members!J95</f>
        <v>Huey</v>
      </c>
      <c r="C99">
        <f>Members!K95</f>
        <v>40044</v>
      </c>
      <c r="D99">
        <f>Members!H95</f>
        <v>0</v>
      </c>
      <c r="E99" t="str">
        <f t="shared" si="1"/>
        <v>mkdir %d%\4d 2&gt;NUL &amp; echo Loading 4d - Huey &amp; curl --stderr stderr.log -s -S -H "Cookie: USERID=36964; PASSWORD=LQrxFeMoLxg3." "http://dailygammon.com/bg/user/40044?active=1&amp;finished=1&amp;sort_win_loss=0&amp;days_to_view=150" &gt;%d%\4d\%ts%_4d_Huey-40044.html</v>
      </c>
    </row>
    <row r="100" spans="1:7" x14ac:dyDescent="0.35">
      <c r="A100" t="str">
        <f>Members!D96</f>
        <v>4d</v>
      </c>
      <c r="B100" t="str">
        <f>Members!J96</f>
        <v>izzak</v>
      </c>
      <c r="C100">
        <f>Members!K96</f>
        <v>22809</v>
      </c>
      <c r="D100" t="str">
        <f>Members!H96</f>
        <v>x</v>
      </c>
      <c r="E100" t="str">
        <f t="shared" si="1"/>
        <v>mkdir %d%\4d 2&gt;NUL &amp; echo Loading 4d - izzak (finished) &amp; curl --stderr stderr.log -s -S -H "Cookie: USERID=36964; PASSWORD=LQrxFeMoLxg3." "http://dailygammon.com/bg/user/22809?active=1&amp;finished=1&amp;sort_win_loss=0&amp;days_to_view=150" &gt;%d%\4d\finished_%ts%_4d_izzak-22809.html</v>
      </c>
    </row>
    <row r="101" spans="1:7" x14ac:dyDescent="0.35">
      <c r="A101" t="str">
        <f>Members!D97</f>
        <v>4d</v>
      </c>
      <c r="B101" t="str">
        <f>Members!J97</f>
        <v>klic</v>
      </c>
      <c r="C101">
        <f>Members!K97</f>
        <v>8743</v>
      </c>
      <c r="D101" t="str">
        <f>Members!H97</f>
        <v>x</v>
      </c>
      <c r="E101" t="str">
        <f t="shared" si="1"/>
        <v>mkdir %d%\4d 2&gt;NUL &amp; echo Loading 4d - klic (finished) &amp; curl --stderr stderr.log -s -S -H "Cookie: USERID=36964; PASSWORD=LQrxFeMoLxg3." "http://dailygammon.com/bg/user/8743?active=1&amp;finished=1&amp;sort_win_loss=0&amp;days_to_view=150" &gt;%d%\4d\finished_%ts%_4d_klic-8743.html</v>
      </c>
      <c r="G101" t="s">
        <v>54</v>
      </c>
    </row>
    <row r="102" spans="1:7" hidden="1" x14ac:dyDescent="0.35">
      <c r="A102" t="str">
        <f>Members!D98</f>
        <v>4d</v>
      </c>
      <c r="B102" t="str">
        <f>Members!J98</f>
        <v>LuckyDog</v>
      </c>
      <c r="C102">
        <f>Members!K98</f>
        <v>2685</v>
      </c>
      <c r="D102" t="str">
        <f>Members!H98</f>
        <v>x</v>
      </c>
      <c r="E102" t="str">
        <f t="shared" si="1"/>
        <v>mkdir %d%\4d 2&gt;NUL &amp; echo Loading 4d - LuckyDog (finished) &amp; curl --stderr stderr.log -s -S -H "Cookie: USERID=36964; PASSWORD=LQrxFeMoLxg3." "http://dailygammon.com/bg/user/2685?active=1&amp;finished=1&amp;sort_win_loss=0&amp;days_to_view=150" &gt;%d%\4d\finished_%ts%_4d_LuckyDog-2685.html</v>
      </c>
    </row>
    <row r="103" spans="1:7" x14ac:dyDescent="0.35">
      <c r="A103" t="str">
        <f>Members!D99</f>
        <v>4d</v>
      </c>
      <c r="B103" t="str">
        <f>Members!J99</f>
        <v>lucylucy</v>
      </c>
      <c r="C103">
        <f>Members!K99</f>
        <v>23659</v>
      </c>
      <c r="D103" t="str">
        <f>Members!H99</f>
        <v>x</v>
      </c>
      <c r="E103" t="str">
        <f t="shared" si="1"/>
        <v>mkdir %d%\4d 2&gt;NUL &amp; echo Loading 4d - lucylucy (finished) &amp; curl --stderr stderr.log -s -S -H "Cookie: USERID=36964; PASSWORD=LQrxFeMoLxg3." "http://dailygammon.com/bg/user/23659?active=1&amp;finished=1&amp;sort_win_loss=0&amp;days_to_view=150" &gt;%d%\4d\finished_%ts%_4d_lucylucy-23659.html</v>
      </c>
    </row>
    <row r="104" spans="1:7" hidden="1" x14ac:dyDescent="0.35">
      <c r="A104" t="str">
        <f>Members!D100</f>
        <v>4d</v>
      </c>
      <c r="B104" t="str">
        <f>Members!J100</f>
        <v>Richie.Adams</v>
      </c>
      <c r="C104">
        <f>Members!K100</f>
        <v>18751</v>
      </c>
      <c r="D104" t="str">
        <f>Members!H100</f>
        <v>x</v>
      </c>
      <c r="E104" t="str">
        <f t="shared" si="1"/>
        <v>mkdir %d%\4d 2&gt;NUL &amp; echo Loading 4d - Richie.Adams (finished) &amp; curl --stderr stderr.log -s -S -H "Cookie: USERID=36964; PASSWORD=LQrxFeMoLxg3." "http://dailygammon.com/bg/user/18751?active=1&amp;finished=1&amp;sort_win_loss=0&amp;days_to_view=150" &gt;%d%\4d\finished_%ts%_4d_Richie.Adams-18751.html</v>
      </c>
    </row>
    <row r="105" spans="1:7" x14ac:dyDescent="0.35">
      <c r="A105" t="str">
        <f>Members!D101</f>
        <v>4d</v>
      </c>
      <c r="B105" t="str">
        <f>Members!J101</f>
        <v>star62</v>
      </c>
      <c r="C105">
        <f>Members!K101</f>
        <v>10907</v>
      </c>
      <c r="D105">
        <f>Members!H101</f>
        <v>0</v>
      </c>
      <c r="E105" t="str">
        <f t="shared" si="1"/>
        <v>mkdir %d%\4d 2&gt;NUL &amp; echo Loading 4d - star62 &amp; curl --stderr stderr.log -s -S -H "Cookie: USERID=36964; PASSWORD=LQrxFeMoLxg3." "http://dailygammon.com/bg/user/10907?active=1&amp;finished=1&amp;sort_win_loss=0&amp;days_to_view=150" &gt;%d%\4d\%ts%_4d_star62-10907.html</v>
      </c>
    </row>
    <row r="106" spans="1:7" x14ac:dyDescent="0.35">
      <c r="A106" t="str">
        <f>Members!D102</f>
        <v>5a</v>
      </c>
      <c r="B106" t="str">
        <f>Members!J102</f>
        <v>ANESTIS</v>
      </c>
      <c r="C106">
        <f>Members!K102</f>
        <v>33114</v>
      </c>
      <c r="D106" t="str">
        <f>Members!H102</f>
        <v>x</v>
      </c>
      <c r="E106" t="str">
        <f t="shared" si="1"/>
        <v>mkdir %d%\5a 2&gt;NUL &amp; echo Loading 5a - ANESTIS (finished) &amp; curl --stderr stderr.log -s -S -H "Cookie: USERID=36964; PASSWORD=LQrxFeMoLxg3." "http://dailygammon.com/bg/user/33114?active=1&amp;finished=1&amp;sort_win_loss=0&amp;days_to_view=150" &gt;%d%\5a\finished_%ts%_5a_ANESTIS-33114.html</v>
      </c>
      <c r="G106" t="s">
        <v>54</v>
      </c>
    </row>
    <row r="107" spans="1:7" x14ac:dyDescent="0.35">
      <c r="A107" t="str">
        <f>Members!D103</f>
        <v>5a</v>
      </c>
      <c r="B107" t="str">
        <f>Members!J103</f>
        <v>Ganieda</v>
      </c>
      <c r="C107">
        <f>Members!K103</f>
        <v>2543</v>
      </c>
      <c r="D107" t="str">
        <f>Members!H103</f>
        <v>x</v>
      </c>
      <c r="E107" t="str">
        <f t="shared" si="1"/>
        <v>mkdir %d%\5a 2&gt;NUL &amp; echo Loading 5a - Ganieda (finished) &amp; curl --stderr stderr.log -s -S -H "Cookie: USERID=36964; PASSWORD=LQrxFeMoLxg3." "http://dailygammon.com/bg/user/2543?active=1&amp;finished=1&amp;sort_win_loss=0&amp;days_to_view=150" &gt;%d%\5a\finished_%ts%_5a_Ganieda-2543.html</v>
      </c>
    </row>
    <row r="108" spans="1:7" x14ac:dyDescent="0.35">
      <c r="A108" t="str">
        <f>Members!D104</f>
        <v>5a</v>
      </c>
      <c r="B108" t="str">
        <f>Members!J104</f>
        <v>gelzi</v>
      </c>
      <c r="C108">
        <f>Members!K104</f>
        <v>12220</v>
      </c>
      <c r="D108">
        <f>Members!H104</f>
        <v>0</v>
      </c>
      <c r="E108" t="str">
        <f t="shared" si="1"/>
        <v>mkdir %d%\5a 2&gt;NUL &amp; echo Loading 5a - gelzi &amp; curl --stderr stderr.log -s -S -H "Cookie: USERID=36964; PASSWORD=LQrxFeMoLxg3." "http://dailygammon.com/bg/user/12220?active=1&amp;finished=1&amp;sort_win_loss=0&amp;days_to_view=150" &gt;%d%\5a\%ts%_5a_gelzi-12220.html</v>
      </c>
      <c r="G108" t="s">
        <v>54</v>
      </c>
    </row>
    <row r="109" spans="1:7" x14ac:dyDescent="0.35">
      <c r="A109" t="str">
        <f>Members!D105</f>
        <v>5a</v>
      </c>
      <c r="B109" t="str">
        <f>Members!J105</f>
        <v>Liamleech1</v>
      </c>
      <c r="C109">
        <f>Members!K105</f>
        <v>37706</v>
      </c>
      <c r="D109">
        <f>Members!H105</f>
        <v>0</v>
      </c>
      <c r="E109" t="str">
        <f t="shared" si="1"/>
        <v>mkdir %d%\5a 2&gt;NUL &amp; echo Loading 5a - Liamleech1 &amp; curl --stderr stderr.log -s -S -H "Cookie: USERID=36964; PASSWORD=LQrxFeMoLxg3." "http://dailygammon.com/bg/user/37706?active=1&amp;finished=1&amp;sort_win_loss=0&amp;days_to_view=150" &gt;%d%\5a\%ts%_5a_Liamleech1-37706.html</v>
      </c>
    </row>
    <row r="110" spans="1:7" x14ac:dyDescent="0.35">
      <c r="A110" t="str">
        <f>Members!D106</f>
        <v>5a</v>
      </c>
      <c r="B110" t="str">
        <f>Members!J106</f>
        <v>Njtigfan</v>
      </c>
      <c r="C110">
        <f>Members!K106</f>
        <v>42202</v>
      </c>
      <c r="D110">
        <f>Members!H106</f>
        <v>0</v>
      </c>
      <c r="E110" t="str">
        <f t="shared" si="1"/>
        <v>mkdir %d%\5a 2&gt;NUL &amp; echo Loading 5a - Njtigfan &amp; curl --stderr stderr.log -s -S -H "Cookie: USERID=36964; PASSWORD=LQrxFeMoLxg3." "http://dailygammon.com/bg/user/42202?active=1&amp;finished=1&amp;sort_win_loss=0&amp;days_to_view=150" &gt;%d%\5a\%ts%_5a_Njtigfan-42202.html</v>
      </c>
    </row>
    <row r="111" spans="1:7" hidden="1" x14ac:dyDescent="0.35">
      <c r="A111" t="str">
        <f>Members!D107</f>
        <v>5a</v>
      </c>
      <c r="B111" t="str">
        <f>Members!J107</f>
        <v>OLLI CCYHI</v>
      </c>
      <c r="C111">
        <f>Members!K107</f>
        <v>41606</v>
      </c>
      <c r="D111">
        <f>Members!H107</f>
        <v>0</v>
      </c>
      <c r="E111" t="str">
        <f t="shared" si="1"/>
        <v>mkdir %d%\5a 2&gt;NUL &amp; echo Loading 5a - OLLI CCYHI &amp; curl --stderr stderr.log -s -S -H "Cookie: USERID=36964; PASSWORD=LQrxFeMoLxg3." "http://dailygammon.com/bg/user/41606?active=1&amp;finished=1&amp;sort_win_loss=0&amp;days_to_view=150" &gt;%d%\5a\%ts%_5a_OLLI_CCYHI-41606.html</v>
      </c>
    </row>
    <row r="112" spans="1:7" x14ac:dyDescent="0.35">
      <c r="A112" t="str">
        <f>Members!D108</f>
        <v>5a</v>
      </c>
      <c r="B112" t="str">
        <f>Members!J108</f>
        <v>snoopaggieag</v>
      </c>
      <c r="C112">
        <f>Members!K108</f>
        <v>36118</v>
      </c>
      <c r="D112" t="str">
        <f>Members!H108</f>
        <v>x</v>
      </c>
      <c r="E112" t="str">
        <f t="shared" si="1"/>
        <v>mkdir %d%\5a 2&gt;NUL &amp; echo Loading 5a - snoopaggieag (finished) &amp; curl --stderr stderr.log -s -S -H "Cookie: USERID=36964; PASSWORD=LQrxFeMoLxg3." "http://dailygammon.com/bg/user/36118?active=1&amp;finished=1&amp;sort_win_loss=0&amp;days_to_view=150" &gt;%d%\5a\finished_%ts%_5a_snoopaggieag-36118.html</v>
      </c>
    </row>
    <row r="113" spans="1:5" hidden="1" x14ac:dyDescent="0.35">
      <c r="A113" t="str">
        <f>Members!D111</f>
        <v>5b</v>
      </c>
      <c r="B113" t="str">
        <f>Members!J111</f>
        <v>andersm</v>
      </c>
      <c r="C113">
        <f>Members!K111</f>
        <v>18934</v>
      </c>
      <c r="D113" t="str">
        <f>Members!H111</f>
        <v>x</v>
      </c>
      <c r="E113" t="str">
        <f t="shared" si="1"/>
        <v>mkdir %d%\5b 2&gt;NUL &amp; echo Loading 5b - andersm (finished) &amp; curl --stderr stderr.log -s -S -H "Cookie: USERID=36964; PASSWORD=LQrxFeMoLxg3." "http://dailygammon.com/bg/user/18934?active=1&amp;finished=1&amp;sort_win_loss=0&amp;days_to_view=150" &gt;%d%\5b\finished_%ts%_5b_andersm-18934.html</v>
      </c>
    </row>
    <row r="114" spans="1:5" x14ac:dyDescent="0.35">
      <c r="A114" t="str">
        <f>Members!D112</f>
        <v>5b</v>
      </c>
      <c r="B114" t="str">
        <f>Members!J112</f>
        <v>jebediasmie</v>
      </c>
      <c r="C114">
        <f>Members!K112</f>
        <v>39676</v>
      </c>
      <c r="D114" t="str">
        <f>Members!H112</f>
        <v>x</v>
      </c>
      <c r="E114" t="str">
        <f t="shared" si="1"/>
        <v>mkdir %d%\5b 2&gt;NUL &amp; echo Loading 5b - jebediasmie (finished) &amp; curl --stderr stderr.log -s -S -H "Cookie: USERID=36964; PASSWORD=LQrxFeMoLxg3." "http://dailygammon.com/bg/user/39676?active=1&amp;finished=1&amp;sort_win_loss=0&amp;days_to_view=150" &gt;%d%\5b\finished_%ts%_5b_jebediasmie-39676.html</v>
      </c>
    </row>
    <row r="115" spans="1:5" x14ac:dyDescent="0.35">
      <c r="A115" t="str">
        <f>Members!D113</f>
        <v>5b</v>
      </c>
      <c r="B115" t="str">
        <f>Members!J113</f>
        <v>Michael the pariah</v>
      </c>
      <c r="C115">
        <f>Members!K113</f>
        <v>27628</v>
      </c>
      <c r="D115">
        <f>Members!H113</f>
        <v>0</v>
      </c>
      <c r="E115" t="str">
        <f t="shared" si="1"/>
        <v>mkdir %d%\5b 2&gt;NUL &amp; echo Loading 5b - Michael the pariah &amp; curl --stderr stderr.log -s -S -H "Cookie: USERID=36964; PASSWORD=LQrxFeMoLxg3." "http://dailygammon.com/bg/user/27628?active=1&amp;finished=1&amp;sort_win_loss=0&amp;days_to_view=150" &gt;%d%\5b\%ts%_5b_Michael_the_pariah-27628.html</v>
      </c>
    </row>
    <row r="116" spans="1:5" hidden="1" x14ac:dyDescent="0.35">
      <c r="A116" t="str">
        <f>Members!D114</f>
        <v>5b</v>
      </c>
      <c r="B116" t="str">
        <f>Members!J114</f>
        <v>MungoMH</v>
      </c>
      <c r="C116">
        <f>Members!K114</f>
        <v>32125</v>
      </c>
      <c r="D116" t="str">
        <f>Members!H114</f>
        <v>x</v>
      </c>
      <c r="E116" t="str">
        <f t="shared" si="1"/>
        <v>mkdir %d%\5b 2&gt;NUL &amp; echo Loading 5b - MungoMH (finished) &amp; curl --stderr stderr.log -s -S -H "Cookie: USERID=36964; PASSWORD=LQrxFeMoLxg3." "http://dailygammon.com/bg/user/32125?active=1&amp;finished=1&amp;sort_win_loss=0&amp;days_to_view=150" &gt;%d%\5b\finished_%ts%_5b_MungoMH-32125.html</v>
      </c>
    </row>
    <row r="117" spans="1:5" x14ac:dyDescent="0.35">
      <c r="A117" t="str">
        <f>Members!D115</f>
        <v>5b</v>
      </c>
      <c r="B117" t="str">
        <f>Members!J115</f>
        <v>neptun</v>
      </c>
      <c r="C117">
        <f>Members!K115</f>
        <v>14990</v>
      </c>
      <c r="D117">
        <f>Members!H115</f>
        <v>0</v>
      </c>
      <c r="E117" t="str">
        <f t="shared" si="1"/>
        <v>mkdir %d%\5b 2&gt;NUL &amp; echo Loading 5b - neptun &amp; curl --stderr stderr.log -s -S -H "Cookie: USERID=36964; PASSWORD=LQrxFeMoLxg3." "http://dailygammon.com/bg/user/14990?active=1&amp;finished=1&amp;sort_win_loss=0&amp;days_to_view=150" &gt;%d%\5b\%ts%_5b_neptun-14990.html</v>
      </c>
    </row>
    <row r="118" spans="1:5" x14ac:dyDescent="0.35">
      <c r="A118" t="str">
        <f>Members!D116</f>
        <v>5b</v>
      </c>
      <c r="B118" t="str">
        <f>Members!J116</f>
        <v>oldehippy</v>
      </c>
      <c r="C118">
        <f>Members!K116</f>
        <v>1070</v>
      </c>
      <c r="D118">
        <f>Members!H116</f>
        <v>0</v>
      </c>
      <c r="E118" t="str">
        <f t="shared" si="1"/>
        <v>mkdir %d%\5b 2&gt;NUL &amp; echo Loading 5b - oldehippy &amp; curl --stderr stderr.log -s -S -H "Cookie: USERID=36964; PASSWORD=LQrxFeMoLxg3." "http://dailygammon.com/bg/user/1070?active=1&amp;finished=1&amp;sort_win_loss=0&amp;days_to_view=150" &gt;%d%\5b\%ts%_5b_oldehippy-1070.html</v>
      </c>
    </row>
    <row r="119" spans="1:5" x14ac:dyDescent="0.35">
      <c r="A119" t="str">
        <f>Members!D117</f>
        <v>5b</v>
      </c>
      <c r="B119" t="str">
        <f>Members!J117</f>
        <v>silvercilla</v>
      </c>
      <c r="C119">
        <f>Members!K117</f>
        <v>30497</v>
      </c>
      <c r="D119">
        <f>Members!H117</f>
        <v>0</v>
      </c>
      <c r="E119" t="str">
        <f t="shared" si="1"/>
        <v>mkdir %d%\5b 2&gt;NUL &amp; echo Loading 5b - silvercilla &amp; curl --stderr stderr.log -s -S -H "Cookie: USERID=36964; PASSWORD=LQrxFeMoLxg3." "http://dailygammon.com/bg/user/30497?active=1&amp;finished=1&amp;sort_win_loss=0&amp;days_to_view=150" &gt;%d%\5b\%ts%_5b_silvercilla-30497.html</v>
      </c>
    </row>
    <row r="120" spans="1:5" hidden="1" x14ac:dyDescent="0.35">
      <c r="A120" t="str">
        <f>Members!D119</f>
        <v>5b</v>
      </c>
      <c r="B120" t="str">
        <f>Members!J119</f>
        <v>Yolandaine</v>
      </c>
      <c r="C120">
        <f>Members!K119</f>
        <v>40365</v>
      </c>
      <c r="D120">
        <f>Members!H119</f>
        <v>0</v>
      </c>
      <c r="E120" t="str">
        <f t="shared" si="1"/>
        <v>mkdir %d%\5b 2&gt;NUL &amp; echo Loading 5b - Yolandaine &amp; curl --stderr stderr.log -s -S -H "Cookie: USERID=36964; PASSWORD=LQrxFeMoLxg3." "http://dailygammon.com/bg/user/40365?active=1&amp;finished=1&amp;sort_win_loss=0&amp;days_to_view=150" &gt;%d%\5b\%ts%_5b_Yolandaine-40365.html</v>
      </c>
    </row>
    <row r="121" spans="1:5" hidden="1" x14ac:dyDescent="0.35">
      <c r="A121" t="str">
        <f>Members!D120</f>
        <v>5c</v>
      </c>
      <c r="B121" t="str">
        <f>Members!J120</f>
        <v>Cora</v>
      </c>
      <c r="C121">
        <f>Members!K120</f>
        <v>28330</v>
      </c>
      <c r="D121">
        <f>Members!H120</f>
        <v>0</v>
      </c>
      <c r="E121" t="str">
        <f t="shared" si="1"/>
        <v>mkdir %d%\5c 2&gt;NUL &amp; echo Loading 5c - Cora &amp; curl --stderr stderr.log -s -S -H "Cookie: USERID=36964; PASSWORD=LQrxFeMoLxg3." "http://dailygammon.com/bg/user/28330?active=1&amp;finished=1&amp;sort_win_loss=0&amp;days_to_view=150" &gt;%d%\5c\%ts%_5c_Cora-28330.html</v>
      </c>
    </row>
    <row r="122" spans="1:5" x14ac:dyDescent="0.35">
      <c r="A122" t="str">
        <f>Members!D121</f>
        <v>5c</v>
      </c>
      <c r="B122" t="str">
        <f>Members!J121</f>
        <v>fulesmacko</v>
      </c>
      <c r="C122">
        <f>Members!K121</f>
        <v>21796</v>
      </c>
      <c r="D122" t="str">
        <f>Members!H121</f>
        <v>x</v>
      </c>
      <c r="E122" t="str">
        <f t="shared" si="1"/>
        <v>mkdir %d%\5c 2&gt;NUL &amp; echo Loading 5c - fulesmacko (finished) &amp; curl --stderr stderr.log -s -S -H "Cookie: USERID=36964; PASSWORD=LQrxFeMoLxg3." "http://dailygammon.com/bg/user/21796?active=1&amp;finished=1&amp;sort_win_loss=0&amp;days_to_view=150" &gt;%d%\5c\finished_%ts%_5c_fulesmacko-21796.html</v>
      </c>
    </row>
    <row r="123" spans="1:5" x14ac:dyDescent="0.35">
      <c r="A123" t="str">
        <f>Members!D122</f>
        <v>5c</v>
      </c>
      <c r="B123" t="str">
        <f>Members!J122</f>
        <v>Funkypower</v>
      </c>
      <c r="C123">
        <f>Members!K122</f>
        <v>25188</v>
      </c>
      <c r="D123">
        <f>Members!H122</f>
        <v>0</v>
      </c>
      <c r="E123" t="str">
        <f t="shared" si="1"/>
        <v>mkdir %d%\5c 2&gt;NUL &amp; echo Loading 5c - Funkypower &amp; curl --stderr stderr.log -s -S -H "Cookie: USERID=36964; PASSWORD=LQrxFeMoLxg3." "http://dailygammon.com/bg/user/25188?active=1&amp;finished=1&amp;sort_win_loss=0&amp;days_to_view=150" &gt;%d%\5c\%ts%_5c_Funkypower-25188.html</v>
      </c>
    </row>
    <row r="124" spans="1:5" x14ac:dyDescent="0.35">
      <c r="A124" t="str">
        <f>Members!D123</f>
        <v>5c</v>
      </c>
      <c r="B124" t="str">
        <f>Members!J123</f>
        <v>geeimatree</v>
      </c>
      <c r="C124">
        <f>Members!K123</f>
        <v>30835</v>
      </c>
      <c r="D124" t="str">
        <f>Members!H123</f>
        <v>x</v>
      </c>
      <c r="E124" t="str">
        <f t="shared" si="1"/>
        <v>mkdir %d%\5c 2&gt;NUL &amp; echo Loading 5c - geeimatree (finished) &amp; curl --stderr stderr.log -s -S -H "Cookie: USERID=36964; PASSWORD=LQrxFeMoLxg3." "http://dailygammon.com/bg/user/30835?active=1&amp;finished=1&amp;sort_win_loss=0&amp;days_to_view=150" &gt;%d%\5c\finished_%ts%_5c_geeimatree-30835.html</v>
      </c>
    </row>
    <row r="125" spans="1:5" x14ac:dyDescent="0.35">
      <c r="A125" t="str">
        <f>Members!D124</f>
        <v>5c</v>
      </c>
      <c r="B125" t="str">
        <f>Members!J124</f>
        <v>J1moyer</v>
      </c>
      <c r="C125">
        <f>Members!K124</f>
        <v>23180</v>
      </c>
      <c r="D125">
        <f>Members!H124</f>
        <v>0</v>
      </c>
      <c r="E125" t="str">
        <f t="shared" si="1"/>
        <v>mkdir %d%\5c 2&gt;NUL &amp; echo Loading 5c - J1moyer &amp; curl --stderr stderr.log -s -S -H "Cookie: USERID=36964; PASSWORD=LQrxFeMoLxg3." "http://dailygammon.com/bg/user/23180?active=1&amp;finished=1&amp;sort_win_loss=0&amp;days_to_view=150" &gt;%d%\5c\%ts%_5c_J1moyer-23180.html</v>
      </c>
    </row>
    <row r="126" spans="1:5" x14ac:dyDescent="0.35">
      <c r="A126" t="str">
        <f>Members!D125</f>
        <v>5c</v>
      </c>
      <c r="B126" t="str">
        <f>Members!J125</f>
        <v>Martin of Harrogate</v>
      </c>
      <c r="C126">
        <f>Members!K125</f>
        <v>24353</v>
      </c>
      <c r="D126">
        <f>Members!H125</f>
        <v>0</v>
      </c>
      <c r="E126" t="str">
        <f t="shared" si="1"/>
        <v>mkdir %d%\5c 2&gt;NUL &amp; echo Loading 5c - Martin of Harrogate &amp; curl --stderr stderr.log -s -S -H "Cookie: USERID=36964; PASSWORD=LQrxFeMoLxg3." "http://dailygammon.com/bg/user/24353?active=1&amp;finished=1&amp;sort_win_loss=0&amp;days_to_view=150" &gt;%d%\5c\%ts%_5c_Martin_of_Harrogate-24353.html</v>
      </c>
    </row>
    <row r="127" spans="1:5" x14ac:dyDescent="0.35">
      <c r="A127" t="str">
        <f>Members!D126</f>
        <v>5c</v>
      </c>
      <c r="B127" t="str">
        <f>Members!J126</f>
        <v>OLLI Jane</v>
      </c>
      <c r="C127">
        <f>Members!K126</f>
        <v>39590</v>
      </c>
      <c r="D127" t="str">
        <f>Members!H126</f>
        <v>x</v>
      </c>
      <c r="E127" t="str">
        <f t="shared" si="1"/>
        <v>mkdir %d%\5c 2&gt;NUL &amp; echo Loading 5c - OLLI Jane (finished) &amp; curl --stderr stderr.log -s -S -H "Cookie: USERID=36964; PASSWORD=LQrxFeMoLxg3." "http://dailygammon.com/bg/user/39590?active=1&amp;finished=1&amp;sort_win_loss=0&amp;days_to_view=150" &gt;%d%\5c\finished_%ts%_5c_OLLI_Jane-39590.html</v>
      </c>
    </row>
    <row r="128" spans="1:5" x14ac:dyDescent="0.35">
      <c r="A128" t="str">
        <f>Members!D127</f>
        <v>5c</v>
      </c>
      <c r="B128" t="str">
        <f>Members!J127</f>
        <v>paulcam</v>
      </c>
      <c r="C128">
        <f>Members!K127</f>
        <v>40722</v>
      </c>
      <c r="D128">
        <f>Members!H127</f>
        <v>0</v>
      </c>
      <c r="E128" t="str">
        <f t="shared" si="1"/>
        <v>mkdir %d%\5c 2&gt;NUL &amp; echo Loading 5c - paulcam &amp; curl --stderr stderr.log -s -S -H "Cookie: USERID=36964; PASSWORD=LQrxFeMoLxg3." "http://dailygammon.com/bg/user/40722?active=1&amp;finished=1&amp;sort_win_loss=0&amp;days_to_view=150" &gt;%d%\5c\%ts%_5c_paulcam-40722.html</v>
      </c>
    </row>
    <row r="129" spans="1:7" hidden="1" x14ac:dyDescent="0.35">
      <c r="A129" t="str">
        <f>Members!D128</f>
        <v>5c</v>
      </c>
      <c r="B129" t="str">
        <f>Members!J128</f>
        <v>Yamboian</v>
      </c>
      <c r="C129">
        <f>Members!K128</f>
        <v>30903</v>
      </c>
      <c r="D129" t="str">
        <f>Members!H128</f>
        <v>x</v>
      </c>
      <c r="E129" t="str">
        <f t="shared" si="1"/>
        <v>mkdir %d%\5c 2&gt;NUL &amp; echo Loading 5c - Yamboian (finished) &amp; curl --stderr stderr.log -s -S -H "Cookie: USERID=36964; PASSWORD=LQrxFeMoLxg3." "http://dailygammon.com/bg/user/30903?active=1&amp;finished=1&amp;sort_win_loss=0&amp;days_to_view=150" &gt;%d%\5c\finished_%ts%_5c_Yamboian-30903.html</v>
      </c>
    </row>
    <row r="130" spans="1:7" x14ac:dyDescent="0.35">
      <c r="A130" t="str">
        <f>Members!D129</f>
        <v>left</v>
      </c>
      <c r="B130" t="str">
        <f>Members!J129</f>
        <v>andy1975</v>
      </c>
      <c r="C130">
        <f>Members!K129</f>
        <v>21572</v>
      </c>
      <c r="D130">
        <f>Members!H129</f>
        <v>0</v>
      </c>
      <c r="E130" t="str">
        <f t="shared" si="1"/>
        <v>mkdir %d%\left 2&gt;NUL &amp; echo Loading left - andy1975 &amp; curl --stderr stderr.log -s -S -H "Cookie: USERID=36964; PASSWORD=LQrxFeMoLxg3." "http://dailygammon.com/bg/user/21572?active=1&amp;finished=1&amp;sort_win_loss=0&amp;days_to_view=150" &gt;%d%\left\%ts%_left_andy1975-21572.html</v>
      </c>
    </row>
    <row r="131" spans="1:7" x14ac:dyDescent="0.35">
      <c r="A131" t="str">
        <f>Members!D130</f>
        <v>left</v>
      </c>
      <c r="B131" t="str">
        <f>Members!J130</f>
        <v>Brunello</v>
      </c>
      <c r="C131">
        <f>Members!K130</f>
        <v>6282</v>
      </c>
      <c r="D131" t="str">
        <f>Members!H130</f>
        <v>x</v>
      </c>
      <c r="E131" t="str">
        <f t="shared" si="1"/>
        <v>mkdir %d%\left 2&gt;NUL &amp; echo Loading left - Brunello (finished) &amp; curl --stderr stderr.log -s -S -H "Cookie: USERID=36964; PASSWORD=LQrxFeMoLxg3." "http://dailygammon.com/bg/user/6282?active=1&amp;finished=1&amp;sort_win_loss=0&amp;days_to_view=150" &gt;%d%\left\finished_%ts%_left_Brunello-6282.html</v>
      </c>
    </row>
    <row r="132" spans="1:7" hidden="1" x14ac:dyDescent="0.35">
      <c r="A132" t="str">
        <f>Members!D131</f>
        <v>left</v>
      </c>
      <c r="B132" t="str">
        <f>Members!J131</f>
        <v>JuliaH</v>
      </c>
      <c r="C132">
        <f>Members!K131</f>
        <v>23996</v>
      </c>
      <c r="D132">
        <f>Members!H131</f>
        <v>0</v>
      </c>
      <c r="E132" t="str">
        <f t="shared" si="1"/>
        <v>mkdir %d%\left 2&gt;NUL &amp; echo Loading left - JuliaH &amp; curl --stderr stderr.log -s -S -H "Cookie: USERID=36964; PASSWORD=LQrxFeMoLxg3." "http://dailygammon.com/bg/user/23996?active=1&amp;finished=1&amp;sort_win_loss=0&amp;days_to_view=150" &gt;%d%\left\%ts%_left_JuliaH-23996.html</v>
      </c>
    </row>
    <row r="133" spans="1:7" hidden="1" x14ac:dyDescent="0.35">
      <c r="A133" t="str">
        <f>Members!D132</f>
        <v>left</v>
      </c>
      <c r="B133" t="str">
        <f>Members!J132</f>
        <v>putney</v>
      </c>
      <c r="C133">
        <f>Members!K132</f>
        <v>28532</v>
      </c>
      <c r="D133">
        <f>Members!H132</f>
        <v>0</v>
      </c>
      <c r="E133" t="str">
        <f t="shared" si="1"/>
        <v>mkdir %d%\left 2&gt;NUL &amp; echo Loading left - putney &amp; curl --stderr stderr.log -s -S -H "Cookie: USERID=36964; PASSWORD=LQrxFeMoLxg3." "http://dailygammon.com/bg/user/28532?active=1&amp;finished=1&amp;sort_win_loss=0&amp;days_to_view=150" &gt;%d%\left\%ts%_left_putney-28532.html</v>
      </c>
      <c r="G133" t="s">
        <v>54</v>
      </c>
    </row>
    <row r="134" spans="1:7" hidden="1" x14ac:dyDescent="0.35">
      <c r="A134" t="str">
        <f>Members!D133</f>
        <v>left</v>
      </c>
      <c r="B134" t="str">
        <f>Members!J133</f>
        <v>tibid</v>
      </c>
      <c r="C134">
        <f>Members!K133</f>
        <v>23532</v>
      </c>
      <c r="D134">
        <f>Members!H133</f>
        <v>0</v>
      </c>
      <c r="E134" t="str">
        <f t="shared" si="1"/>
        <v>mkdir %d%\left 2&gt;NUL &amp; echo Loading left - tibid &amp; curl --stderr stderr.log -s -S -H "Cookie: USERID=36964; PASSWORD=LQrxFeMoLxg3." "http://dailygammon.com/bg/user/23532?active=1&amp;finished=1&amp;sort_win_loss=0&amp;days_to_view=150" &gt;%d%\left\%ts%_left_tibid-23532.html</v>
      </c>
    </row>
    <row r="135" spans="1:7" x14ac:dyDescent="0.35">
      <c r="A135" t="str">
        <f>Members!D134</f>
        <v>left</v>
      </c>
      <c r="B135" t="str">
        <f>Members!J134</f>
        <v>WolfE1963</v>
      </c>
      <c r="C135">
        <f>Members!K134</f>
        <v>41076</v>
      </c>
      <c r="D135">
        <f>Members!H134</f>
        <v>0</v>
      </c>
      <c r="E135" t="str">
        <f t="shared" ref="E135:E194" si="2">"mkdir %d%\" &amp; A135 &amp; " 2&gt;NUL &amp; echo Loading " &amp; A135 &amp; " - " &amp; B135 &amp; IF(D135&lt;&gt;"x",""," (finished)") &amp; " &amp; curl --stderr stderr.log -s -S -H ""Cookie: USERID=36964; PASSWORD=LQrxFeMoLxg3."" ""http://dailygammon.com/bg/user/" &amp; C135 &amp; "?active=1&amp;finished=1&amp;sort_win_loss=0&amp;days_to_view=150"" &gt;%d%\" &amp; A135 &amp; "\" &amp; IF(D135&lt;&gt;"x","","finished_") &amp; "%ts%_" &amp; A135 &amp; "_" &amp; SUBSTITUTE(B135," ","_") &amp; "-" &amp; C135 &amp; ".html"</f>
        <v>mkdir %d%\left 2&gt;NUL &amp; echo Loading left - WolfE1963 &amp; curl --stderr stderr.log -s -S -H "Cookie: USERID=36964; PASSWORD=LQrxFeMoLxg3." "http://dailygammon.com/bg/user/41076?active=1&amp;finished=1&amp;sort_win_loss=0&amp;days_to_view=150" &gt;%d%\left\%ts%_left_WolfE1963-41076.html</v>
      </c>
      <c r="G135" t="s">
        <v>54</v>
      </c>
    </row>
    <row r="136" spans="1:7" hidden="1" x14ac:dyDescent="0.35">
      <c r="A136" t="str">
        <f>Members!D135</f>
        <v>left</v>
      </c>
      <c r="B136" t="str">
        <f>Members!J135</f>
        <v>XxoolixX</v>
      </c>
      <c r="C136">
        <f>Members!K135</f>
        <v>40111</v>
      </c>
      <c r="D136" t="str">
        <f>Members!H135</f>
        <v>x</v>
      </c>
      <c r="E136" t="str">
        <f t="shared" si="2"/>
        <v>mkdir %d%\left 2&gt;NUL &amp; echo Loading left - XxoolixX (finished) &amp; curl --stderr stderr.log -s -S -H "Cookie: USERID=36964; PASSWORD=LQrxFeMoLxg3." "http://dailygammon.com/bg/user/40111?active=1&amp;finished=1&amp;sort_win_loss=0&amp;days_to_view=150" &gt;%d%\left\finished_%ts%_left_XxoolixX-40111.html</v>
      </c>
    </row>
    <row r="137" spans="1:7" hidden="1" x14ac:dyDescent="0.35">
      <c r="A137" t="e">
        <f>Members!D136</f>
        <v>#N/A</v>
      </c>
      <c r="B137" t="str">
        <f>Members!J136</f>
        <v>18LU13</v>
      </c>
      <c r="C137">
        <f>Members!K136</f>
        <v>37328</v>
      </c>
      <c r="D137">
        <f>Members!H136</f>
        <v>0</v>
      </c>
      <c r="E137" t="e">
        <f t="shared" si="2"/>
        <v>#N/A</v>
      </c>
      <c r="G137" t="s">
        <v>54</v>
      </c>
    </row>
    <row r="138" spans="1:7" hidden="1" x14ac:dyDescent="0.35">
      <c r="A138" t="e">
        <f>Members!D137</f>
        <v>#N/A</v>
      </c>
      <c r="B138" t="str">
        <f>Members!J137</f>
        <v>abra</v>
      </c>
      <c r="C138">
        <f>Members!K137</f>
        <v>25562</v>
      </c>
      <c r="D138">
        <f>Members!H137</f>
        <v>0</v>
      </c>
      <c r="E138" t="e">
        <f t="shared" si="2"/>
        <v>#N/A</v>
      </c>
      <c r="G138" t="s">
        <v>54</v>
      </c>
    </row>
    <row r="139" spans="1:7" hidden="1" x14ac:dyDescent="0.35">
      <c r="A139" t="e">
        <f>Members!D138</f>
        <v>#N/A</v>
      </c>
      <c r="B139" t="str">
        <f>Members!J138</f>
        <v>amalesh</v>
      </c>
      <c r="C139">
        <f>Members!K138</f>
        <v>8171</v>
      </c>
      <c r="D139">
        <f>Members!H138</f>
        <v>0</v>
      </c>
      <c r="E139" t="e">
        <f t="shared" si="2"/>
        <v>#N/A</v>
      </c>
      <c r="G139" t="s">
        <v>54</v>
      </c>
    </row>
    <row r="140" spans="1:7" hidden="1" x14ac:dyDescent="0.35">
      <c r="A140" t="e">
        <f>Members!D139</f>
        <v>#N/A</v>
      </c>
      <c r="B140" t="str">
        <f>Members!J139</f>
        <v>anjk</v>
      </c>
      <c r="C140">
        <f>Members!K139</f>
        <v>32831</v>
      </c>
      <c r="D140">
        <f>Members!H139</f>
        <v>0</v>
      </c>
      <c r="E140" t="e">
        <f t="shared" si="2"/>
        <v>#N/A</v>
      </c>
    </row>
    <row r="141" spans="1:7" hidden="1" x14ac:dyDescent="0.35">
      <c r="A141" t="e">
        <f>Members!D140</f>
        <v>#N/A</v>
      </c>
      <c r="B141" t="str">
        <f>Members!J140</f>
        <v>arkhimedes</v>
      </c>
      <c r="C141">
        <f>Members!K140</f>
        <v>21218</v>
      </c>
      <c r="D141">
        <f>Members!H140</f>
        <v>0</v>
      </c>
      <c r="E141" t="e">
        <f t="shared" si="2"/>
        <v>#N/A</v>
      </c>
      <c r="G141" t="s">
        <v>54</v>
      </c>
    </row>
    <row r="142" spans="1:7" hidden="1" x14ac:dyDescent="0.35">
      <c r="A142" t="e">
        <f>Members!D141</f>
        <v>#N/A</v>
      </c>
      <c r="B142" t="str">
        <f>Members!J141</f>
        <v>Audaxity</v>
      </c>
      <c r="C142">
        <f>Members!K141</f>
        <v>20006</v>
      </c>
      <c r="D142">
        <f>Members!H141</f>
        <v>0</v>
      </c>
      <c r="E142" t="e">
        <f t="shared" si="2"/>
        <v>#N/A</v>
      </c>
      <c r="G142" t="s">
        <v>54</v>
      </c>
    </row>
    <row r="143" spans="1:7" hidden="1" x14ac:dyDescent="0.35">
      <c r="A143" t="e">
        <f>Members!D142</f>
        <v>#N/A</v>
      </c>
      <c r="B143" t="str">
        <f>Members!J142</f>
        <v>BDGammon</v>
      </c>
      <c r="C143">
        <f>Members!K142</f>
        <v>34182</v>
      </c>
      <c r="D143">
        <f>Members!H142</f>
        <v>0</v>
      </c>
      <c r="E143" t="e">
        <f t="shared" si="2"/>
        <v>#N/A</v>
      </c>
    </row>
    <row r="144" spans="1:7" hidden="1" x14ac:dyDescent="0.35">
      <c r="A144" t="e">
        <f>Members!D143</f>
        <v>#N/A</v>
      </c>
      <c r="B144" t="str">
        <f>Members!J143</f>
        <v>checker</v>
      </c>
      <c r="C144">
        <f>Members!K143</f>
        <v>17801</v>
      </c>
      <c r="D144">
        <f>Members!H143</f>
        <v>0</v>
      </c>
      <c r="E144" t="e">
        <f t="shared" si="2"/>
        <v>#N/A</v>
      </c>
    </row>
    <row r="145" spans="1:7" hidden="1" x14ac:dyDescent="0.35">
      <c r="A145" t="e">
        <f>Members!D144</f>
        <v>#N/A</v>
      </c>
      <c r="B145" t="str">
        <f>Members!J144</f>
        <v>cube</v>
      </c>
      <c r="C145">
        <f>Members!K144</f>
        <v>19078</v>
      </c>
      <c r="D145">
        <f>Members!H144</f>
        <v>0</v>
      </c>
      <c r="E145" t="e">
        <f t="shared" si="2"/>
        <v>#N/A</v>
      </c>
    </row>
    <row r="146" spans="1:7" hidden="1" x14ac:dyDescent="0.35">
      <c r="A146" t="e">
        <f>Members!D145</f>
        <v>#N/A</v>
      </c>
      <c r="B146" t="str">
        <f>Members!J145</f>
        <v>darkhelmet</v>
      </c>
      <c r="C146">
        <f>Members!K145</f>
        <v>36594</v>
      </c>
      <c r="D146">
        <f>Members!H145</f>
        <v>0</v>
      </c>
      <c r="E146" t="e">
        <f t="shared" si="2"/>
        <v>#N/A</v>
      </c>
    </row>
    <row r="147" spans="1:7" hidden="1" x14ac:dyDescent="0.35">
      <c r="A147" t="e">
        <f>Members!D146</f>
        <v>#N/A</v>
      </c>
      <c r="B147" t="str">
        <f>Members!J146</f>
        <v>dwc</v>
      </c>
      <c r="C147">
        <f>Members!K146</f>
        <v>313</v>
      </c>
      <c r="D147">
        <f>Members!H146</f>
        <v>0</v>
      </c>
      <c r="E147" t="e">
        <f t="shared" si="2"/>
        <v>#N/A</v>
      </c>
    </row>
    <row r="148" spans="1:7" hidden="1" x14ac:dyDescent="0.35">
      <c r="A148" t="e">
        <f>Members!D147</f>
        <v>#N/A</v>
      </c>
      <c r="B148" t="str">
        <f>Members!J147</f>
        <v>eg</v>
      </c>
      <c r="C148">
        <f>Members!K147</f>
        <v>28142</v>
      </c>
      <c r="D148">
        <f>Members!H147</f>
        <v>0</v>
      </c>
      <c r="E148" t="e">
        <f t="shared" si="2"/>
        <v>#N/A</v>
      </c>
    </row>
    <row r="149" spans="1:7" hidden="1" x14ac:dyDescent="0.35">
      <c r="A149" t="e">
        <f>Members!D148</f>
        <v>#N/A</v>
      </c>
      <c r="B149" t="str">
        <f>Members!J148</f>
        <v>egis</v>
      </c>
      <c r="C149">
        <f>Members!K148</f>
        <v>22385</v>
      </c>
      <c r="D149">
        <f>Members!H148</f>
        <v>0</v>
      </c>
      <c r="E149" t="e">
        <f t="shared" si="2"/>
        <v>#N/A</v>
      </c>
      <c r="G149" t="s">
        <v>54</v>
      </c>
    </row>
    <row r="150" spans="1:7" hidden="1" x14ac:dyDescent="0.35">
      <c r="A150" t="e">
        <f>Members!D149</f>
        <v>#N/A</v>
      </c>
      <c r="B150" t="str">
        <f>Members!J149</f>
        <v>Esmir</v>
      </c>
      <c r="C150">
        <f>Members!K149</f>
        <v>3387</v>
      </c>
      <c r="D150">
        <f>Members!H149</f>
        <v>0</v>
      </c>
      <c r="E150" t="e">
        <f t="shared" si="2"/>
        <v>#N/A</v>
      </c>
    </row>
    <row r="151" spans="1:7" hidden="1" x14ac:dyDescent="0.35">
      <c r="A151" t="e">
        <f>Members!D150</f>
        <v>#N/A</v>
      </c>
      <c r="B151" t="str">
        <f>Members!J150</f>
        <v>EU-BNL-Carol</v>
      </c>
      <c r="C151">
        <f>Members!K150</f>
        <v>579</v>
      </c>
      <c r="D151">
        <f>Members!H150</f>
        <v>0</v>
      </c>
      <c r="E151" t="e">
        <f t="shared" si="2"/>
        <v>#N/A</v>
      </c>
    </row>
    <row r="152" spans="1:7" hidden="1" x14ac:dyDescent="0.35">
      <c r="A152" t="e">
        <f>Members!D151</f>
        <v>#N/A</v>
      </c>
      <c r="B152" t="str">
        <f>Members!J151</f>
        <v>FraPoe</v>
      </c>
      <c r="C152">
        <f>Members!K151</f>
        <v>17507</v>
      </c>
      <c r="D152">
        <f>Members!H151</f>
        <v>0</v>
      </c>
      <c r="E152" t="e">
        <f t="shared" si="2"/>
        <v>#N/A</v>
      </c>
    </row>
    <row r="153" spans="1:7" hidden="1" x14ac:dyDescent="0.35">
      <c r="A153" t="e">
        <f>Members!D152</f>
        <v>#N/A</v>
      </c>
      <c r="B153" t="str">
        <f>Members!J152</f>
        <v>Fredeburg</v>
      </c>
      <c r="C153">
        <f>Members!K152</f>
        <v>26933</v>
      </c>
      <c r="D153">
        <f>Members!H152</f>
        <v>0</v>
      </c>
      <c r="E153" t="e">
        <f t="shared" si="2"/>
        <v>#N/A</v>
      </c>
    </row>
    <row r="154" spans="1:7" hidden="1" x14ac:dyDescent="0.35">
      <c r="A154" t="e">
        <f>Members!D153</f>
        <v>#N/A</v>
      </c>
      <c r="B154" t="str">
        <f>Members!J153</f>
        <v>fritten</v>
      </c>
      <c r="C154">
        <f>Members!K153</f>
        <v>38417</v>
      </c>
      <c r="D154">
        <f>Members!H153</f>
        <v>0</v>
      </c>
      <c r="E154" t="e">
        <f t="shared" si="2"/>
        <v>#N/A</v>
      </c>
    </row>
    <row r="155" spans="1:7" hidden="1" x14ac:dyDescent="0.35">
      <c r="A155" t="e">
        <f>Members!D154</f>
        <v>#N/A</v>
      </c>
      <c r="B155" t="str">
        <f>Members!J154</f>
        <v>GoBroncos</v>
      </c>
      <c r="C155">
        <f>Members!K154</f>
        <v>30811</v>
      </c>
      <c r="D155">
        <f>Members!H154</f>
        <v>0</v>
      </c>
      <c r="E155" t="e">
        <f t="shared" si="2"/>
        <v>#N/A</v>
      </c>
    </row>
    <row r="156" spans="1:7" hidden="1" x14ac:dyDescent="0.35">
      <c r="A156" t="e">
        <f>Members!D155</f>
        <v>#N/A</v>
      </c>
      <c r="B156" t="str">
        <f>Members!J155</f>
        <v>hhooppee</v>
      </c>
      <c r="C156">
        <f>Members!K155</f>
        <v>15331</v>
      </c>
      <c r="D156">
        <f>Members!H155</f>
        <v>0</v>
      </c>
      <c r="E156" t="e">
        <f t="shared" si="2"/>
        <v>#N/A</v>
      </c>
    </row>
    <row r="157" spans="1:7" hidden="1" x14ac:dyDescent="0.35">
      <c r="A157" t="e">
        <f>Members!D156</f>
        <v>#N/A</v>
      </c>
      <c r="B157" t="str">
        <f>Members!J156</f>
        <v>I4one</v>
      </c>
      <c r="C157">
        <f>Members!K156</f>
        <v>23763</v>
      </c>
      <c r="D157">
        <f>Members!H156</f>
        <v>0</v>
      </c>
      <c r="E157" t="e">
        <f t="shared" si="2"/>
        <v>#N/A</v>
      </c>
    </row>
    <row r="158" spans="1:7" hidden="1" x14ac:dyDescent="0.35">
      <c r="A158" t="e">
        <f>Members!D157</f>
        <v>#N/A</v>
      </c>
      <c r="B158" t="str">
        <f>Members!J157</f>
        <v>Jayden</v>
      </c>
      <c r="C158">
        <f>Members!K157</f>
        <v>16354</v>
      </c>
      <c r="D158">
        <f>Members!H157</f>
        <v>0</v>
      </c>
      <c r="E158" t="e">
        <f t="shared" si="2"/>
        <v>#N/A</v>
      </c>
    </row>
    <row r="159" spans="1:7" hidden="1" x14ac:dyDescent="0.35">
      <c r="A159" t="e">
        <f>Members!D158</f>
        <v>#N/A</v>
      </c>
      <c r="B159" t="str">
        <f>Members!J158</f>
        <v>jcfuhrmann</v>
      </c>
      <c r="C159">
        <f>Members!K158</f>
        <v>30175</v>
      </c>
      <c r="D159">
        <f>Members!H158</f>
        <v>0</v>
      </c>
      <c r="E159" t="e">
        <f t="shared" si="2"/>
        <v>#N/A</v>
      </c>
    </row>
    <row r="160" spans="1:7" hidden="1" x14ac:dyDescent="0.35">
      <c r="A160" t="e">
        <f>Members!D159</f>
        <v>#N/A</v>
      </c>
      <c r="B160" t="str">
        <f>Members!J159</f>
        <v>JHD</v>
      </c>
      <c r="C160">
        <f>Members!K159</f>
        <v>12507</v>
      </c>
      <c r="D160">
        <f>Members!H159</f>
        <v>0</v>
      </c>
      <c r="E160" t="e">
        <f t="shared" si="2"/>
        <v>#N/A</v>
      </c>
    </row>
    <row r="161" spans="1:5" hidden="1" x14ac:dyDescent="0.35">
      <c r="A161" t="e">
        <f>Members!D160</f>
        <v>#N/A</v>
      </c>
      <c r="B161" t="str">
        <f>Members!J160</f>
        <v>Kaumijau</v>
      </c>
      <c r="C161">
        <f>Members!K160</f>
        <v>32604</v>
      </c>
      <c r="D161">
        <f>Members!H160</f>
        <v>0</v>
      </c>
      <c r="E161" t="e">
        <f t="shared" si="2"/>
        <v>#N/A</v>
      </c>
    </row>
    <row r="162" spans="1:5" hidden="1" x14ac:dyDescent="0.35">
      <c r="A162" t="e">
        <f>Members!D161</f>
        <v>#N/A</v>
      </c>
      <c r="B162" t="str">
        <f>Members!J161</f>
        <v>Klaus Schicks</v>
      </c>
      <c r="C162">
        <f>Members!K161</f>
        <v>31065</v>
      </c>
      <c r="D162">
        <f>Members!H161</f>
        <v>0</v>
      </c>
      <c r="E162" t="e">
        <f t="shared" si="2"/>
        <v>#N/A</v>
      </c>
    </row>
    <row r="163" spans="1:5" hidden="1" x14ac:dyDescent="0.35">
      <c r="A163" t="e">
        <f>Members!D162</f>
        <v>#N/A</v>
      </c>
      <c r="B163" t="str">
        <f>Members!J162</f>
        <v>Klem58</v>
      </c>
      <c r="C163">
        <f>Members!K162</f>
        <v>36756</v>
      </c>
      <c r="D163">
        <f>Members!H162</f>
        <v>0</v>
      </c>
      <c r="E163" t="e">
        <f t="shared" si="2"/>
        <v>#N/A</v>
      </c>
    </row>
    <row r="164" spans="1:5" hidden="1" x14ac:dyDescent="0.35">
      <c r="A164" t="e">
        <f>Members!D163</f>
        <v>#N/A</v>
      </c>
      <c r="B164" t="str">
        <f>Members!J163</f>
        <v>likesbg</v>
      </c>
      <c r="C164">
        <f>Members!K163</f>
        <v>17648</v>
      </c>
      <c r="D164">
        <f>Members!H163</f>
        <v>0</v>
      </c>
      <c r="E164" t="e">
        <f t="shared" si="2"/>
        <v>#N/A</v>
      </c>
    </row>
    <row r="165" spans="1:5" hidden="1" x14ac:dyDescent="0.35">
      <c r="A165" t="e">
        <f>Members!D164</f>
        <v>#N/A</v>
      </c>
      <c r="B165" t="str">
        <f>Members!J164</f>
        <v>LucasD</v>
      </c>
      <c r="C165">
        <f>Members!K164</f>
        <v>33175</v>
      </c>
      <c r="D165">
        <f>Members!H164</f>
        <v>0</v>
      </c>
      <c r="E165" t="e">
        <f t="shared" si="2"/>
        <v>#N/A</v>
      </c>
    </row>
    <row r="166" spans="1:5" hidden="1" x14ac:dyDescent="0.35">
      <c r="A166" t="e">
        <f>Members!D165</f>
        <v>#N/A</v>
      </c>
      <c r="B166" t="str">
        <f>Members!J165</f>
        <v>Martinbr</v>
      </c>
      <c r="C166">
        <f>Members!K165</f>
        <v>15774</v>
      </c>
      <c r="D166">
        <f>Members!H165</f>
        <v>0</v>
      </c>
      <c r="E166" t="e">
        <f t="shared" si="2"/>
        <v>#N/A</v>
      </c>
    </row>
    <row r="167" spans="1:5" hidden="1" x14ac:dyDescent="0.35">
      <c r="A167" t="e">
        <f>Members!D166</f>
        <v>#N/A</v>
      </c>
      <c r="B167" t="str">
        <f>Members!J166</f>
        <v>maxstock</v>
      </c>
      <c r="C167">
        <f>Members!K166</f>
        <v>39043</v>
      </c>
      <c r="D167">
        <f>Members!H166</f>
        <v>0</v>
      </c>
      <c r="E167" t="e">
        <f t="shared" si="2"/>
        <v>#N/A</v>
      </c>
    </row>
    <row r="168" spans="1:5" hidden="1" x14ac:dyDescent="0.35">
      <c r="A168" t="e">
        <f>Members!D167</f>
        <v>#N/A</v>
      </c>
      <c r="B168" t="str">
        <f>Members!J167</f>
        <v>Misha</v>
      </c>
      <c r="C168">
        <f>Members!K167</f>
        <v>23273</v>
      </c>
      <c r="D168">
        <f>Members!H167</f>
        <v>0</v>
      </c>
      <c r="E168" t="e">
        <f t="shared" si="2"/>
        <v>#N/A</v>
      </c>
    </row>
    <row r="169" spans="1:5" hidden="1" x14ac:dyDescent="0.35">
      <c r="A169" t="e">
        <f>Members!D168</f>
        <v>#N/A</v>
      </c>
      <c r="B169" t="str">
        <f>Members!J168</f>
        <v>nixo</v>
      </c>
      <c r="C169">
        <f>Members!K168</f>
        <v>10304</v>
      </c>
      <c r="D169">
        <f>Members!H168</f>
        <v>0</v>
      </c>
      <c r="E169" t="e">
        <f t="shared" si="2"/>
        <v>#N/A</v>
      </c>
    </row>
    <row r="170" spans="1:5" hidden="1" x14ac:dyDescent="0.35">
      <c r="A170" t="e">
        <f>Members!D169</f>
        <v>#N/A</v>
      </c>
      <c r="B170" t="str">
        <f>Members!J169</f>
        <v>NoddyGammon</v>
      </c>
      <c r="C170">
        <f>Members!K169</f>
        <v>24149</v>
      </c>
      <c r="D170">
        <f>Members!H169</f>
        <v>0</v>
      </c>
      <c r="E170" t="e">
        <f t="shared" si="2"/>
        <v>#N/A</v>
      </c>
    </row>
    <row r="171" spans="1:5" hidden="1" x14ac:dyDescent="0.35">
      <c r="A171" t="e">
        <f>Members!D170</f>
        <v>#N/A</v>
      </c>
      <c r="B171" t="str">
        <f>Members!J170</f>
        <v>NPC</v>
      </c>
      <c r="C171">
        <f>Members!K170</f>
        <v>29498</v>
      </c>
      <c r="D171">
        <f>Members!H170</f>
        <v>0</v>
      </c>
      <c r="E171" t="e">
        <f t="shared" si="2"/>
        <v>#N/A</v>
      </c>
    </row>
    <row r="172" spans="1:5" hidden="1" x14ac:dyDescent="0.35">
      <c r="A172" t="e">
        <f>Members!D171</f>
        <v>#N/A</v>
      </c>
      <c r="B172" t="str">
        <f>Members!J171</f>
        <v>nsprtn</v>
      </c>
      <c r="C172">
        <f>Members!K171</f>
        <v>22269</v>
      </c>
      <c r="D172">
        <f>Members!H171</f>
        <v>0</v>
      </c>
      <c r="E172" t="e">
        <f t="shared" si="2"/>
        <v>#N/A</v>
      </c>
    </row>
    <row r="173" spans="1:5" hidden="1" x14ac:dyDescent="0.35">
      <c r="A173" t="e">
        <f>Members!D172</f>
        <v>#N/A</v>
      </c>
      <c r="B173" t="str">
        <f>Members!J172</f>
        <v>pallix</v>
      </c>
      <c r="C173">
        <f>Members!K172</f>
        <v>28600</v>
      </c>
      <c r="D173">
        <f>Members!H172</f>
        <v>0</v>
      </c>
      <c r="E173" t="e">
        <f t="shared" si="2"/>
        <v>#N/A</v>
      </c>
    </row>
    <row r="174" spans="1:5" hidden="1" x14ac:dyDescent="0.35">
      <c r="A174" t="e">
        <f>Members!D173</f>
        <v>#N/A</v>
      </c>
      <c r="B174" t="str">
        <f>Members!J173</f>
        <v>panbg2</v>
      </c>
      <c r="C174">
        <f>Members!K173</f>
        <v>21584</v>
      </c>
      <c r="D174">
        <f>Members!H173</f>
        <v>0</v>
      </c>
      <c r="E174" t="e">
        <f t="shared" si="2"/>
        <v>#N/A</v>
      </c>
    </row>
    <row r="175" spans="1:5" hidden="1" x14ac:dyDescent="0.35">
      <c r="A175" t="e">
        <f>Members!D174</f>
        <v>#N/A</v>
      </c>
      <c r="B175" t="str">
        <f>Members!J174</f>
        <v>Paul A</v>
      </c>
      <c r="C175">
        <f>Members!K174</f>
        <v>38828</v>
      </c>
      <c r="D175">
        <f>Members!H174</f>
        <v>0</v>
      </c>
      <c r="E175" t="e">
        <f t="shared" si="2"/>
        <v>#N/A</v>
      </c>
    </row>
    <row r="176" spans="1:5" hidden="1" x14ac:dyDescent="0.35">
      <c r="A176" t="e">
        <f>Members!D175</f>
        <v>#N/A</v>
      </c>
      <c r="B176" t="str">
        <f>Members!J175</f>
        <v>Pendragon</v>
      </c>
      <c r="C176">
        <f>Members!K175</f>
        <v>10812</v>
      </c>
      <c r="D176">
        <f>Members!H175</f>
        <v>0</v>
      </c>
      <c r="E176" t="e">
        <f t="shared" si="2"/>
        <v>#N/A</v>
      </c>
    </row>
    <row r="177" spans="1:5" hidden="1" x14ac:dyDescent="0.35">
      <c r="A177" t="e">
        <f>Members!D176</f>
        <v>#N/A</v>
      </c>
      <c r="B177" t="str">
        <f>Members!J176</f>
        <v>Primigenius</v>
      </c>
      <c r="C177">
        <f>Members!K176</f>
        <v>21067</v>
      </c>
      <c r="D177">
        <f>Members!H176</f>
        <v>0</v>
      </c>
      <c r="E177" t="e">
        <f t="shared" si="2"/>
        <v>#N/A</v>
      </c>
    </row>
    <row r="178" spans="1:5" hidden="1" x14ac:dyDescent="0.35">
      <c r="A178" t="e">
        <f>Members!D177</f>
        <v>#N/A</v>
      </c>
      <c r="B178" t="str">
        <f>Members!J177</f>
        <v>RedFly</v>
      </c>
      <c r="C178">
        <f>Members!K177</f>
        <v>6856</v>
      </c>
      <c r="D178">
        <f>Members!H177</f>
        <v>0</v>
      </c>
      <c r="E178" t="e">
        <f t="shared" si="2"/>
        <v>#N/A</v>
      </c>
    </row>
    <row r="179" spans="1:5" hidden="1" x14ac:dyDescent="0.35">
      <c r="A179" t="e">
        <f>Members!D178</f>
        <v>#N/A</v>
      </c>
      <c r="B179" t="str">
        <f>Members!J178</f>
        <v>robbob</v>
      </c>
      <c r="C179">
        <f>Members!K178</f>
        <v>5192</v>
      </c>
      <c r="D179">
        <f>Members!H178</f>
        <v>0</v>
      </c>
      <c r="E179" t="e">
        <f t="shared" si="2"/>
        <v>#N/A</v>
      </c>
    </row>
    <row r="180" spans="1:5" hidden="1" x14ac:dyDescent="0.35">
      <c r="A180" t="e">
        <f>Members!D179</f>
        <v>#N/A</v>
      </c>
      <c r="B180" t="str">
        <f>Members!J179</f>
        <v>S4R4</v>
      </c>
      <c r="C180">
        <f>Members!K179</f>
        <v>38806</v>
      </c>
      <c r="D180">
        <f>Members!H179</f>
        <v>0</v>
      </c>
      <c r="E180" t="e">
        <f t="shared" si="2"/>
        <v>#N/A</v>
      </c>
    </row>
    <row r="181" spans="1:5" hidden="1" x14ac:dyDescent="0.35">
      <c r="A181" t="e">
        <f>Members!D180</f>
        <v>#N/A</v>
      </c>
      <c r="B181" t="str">
        <f>Members!J180</f>
        <v>Sakhalin</v>
      </c>
      <c r="C181">
        <f>Members!K180</f>
        <v>31552</v>
      </c>
      <c r="D181">
        <f>Members!H180</f>
        <v>0</v>
      </c>
      <c r="E181" t="e">
        <f t="shared" si="2"/>
        <v>#N/A</v>
      </c>
    </row>
    <row r="182" spans="1:5" hidden="1" x14ac:dyDescent="0.35">
      <c r="A182" t="e">
        <f>Members!D181</f>
        <v>#N/A</v>
      </c>
      <c r="B182" t="str">
        <f>Members!J181</f>
        <v>seastones</v>
      </c>
      <c r="C182">
        <f>Members!K181</f>
        <v>3792</v>
      </c>
      <c r="D182">
        <f>Members!H181</f>
        <v>0</v>
      </c>
      <c r="E182" t="e">
        <f t="shared" si="2"/>
        <v>#N/A</v>
      </c>
    </row>
    <row r="183" spans="1:5" hidden="1" x14ac:dyDescent="0.35">
      <c r="A183" t="e">
        <f>Members!D182</f>
        <v>#N/A</v>
      </c>
      <c r="B183" t="str">
        <f>Members!J182</f>
        <v>Serkan</v>
      </c>
      <c r="C183">
        <f>Members!K182</f>
        <v>0</v>
      </c>
      <c r="D183">
        <f>Members!H182</f>
        <v>0</v>
      </c>
      <c r="E183" t="e">
        <f t="shared" si="2"/>
        <v>#N/A</v>
      </c>
    </row>
    <row r="184" spans="1:5" hidden="1" x14ac:dyDescent="0.35">
      <c r="A184" t="e">
        <f>Members!D183</f>
        <v>#N/A</v>
      </c>
      <c r="B184" t="str">
        <f>Members!J183</f>
        <v>Sportsfreund</v>
      </c>
      <c r="C184">
        <f>Members!K183</f>
        <v>22072</v>
      </c>
      <c r="D184">
        <f>Members!H183</f>
        <v>0</v>
      </c>
      <c r="E184" t="e">
        <f t="shared" si="2"/>
        <v>#N/A</v>
      </c>
    </row>
    <row r="185" spans="1:5" hidden="1" x14ac:dyDescent="0.35">
      <c r="A185" t="e">
        <f>Members!D184</f>
        <v>#N/A</v>
      </c>
      <c r="B185" t="str">
        <f>Members!J184</f>
        <v>sudowe</v>
      </c>
      <c r="C185">
        <f>Members!K184</f>
        <v>14546</v>
      </c>
      <c r="D185">
        <f>Members!H184</f>
        <v>0</v>
      </c>
      <c r="E185" t="e">
        <f t="shared" si="2"/>
        <v>#N/A</v>
      </c>
    </row>
    <row r="186" spans="1:5" hidden="1" x14ac:dyDescent="0.35">
      <c r="A186" t="e">
        <f>Members!D185</f>
        <v>#N/A</v>
      </c>
      <c r="B186" t="str">
        <f>Members!J185</f>
        <v>The.OpTimizer</v>
      </c>
      <c r="C186">
        <f>Members!K185</f>
        <v>37422</v>
      </c>
      <c r="D186">
        <f>Members!H185</f>
        <v>0</v>
      </c>
      <c r="E186" t="e">
        <f t="shared" si="2"/>
        <v>#N/A</v>
      </c>
    </row>
    <row r="187" spans="1:5" hidden="1" x14ac:dyDescent="0.35">
      <c r="A187" t="e">
        <f>Members!D186</f>
        <v>#N/A</v>
      </c>
      <c r="B187" t="str">
        <f>Members!J186</f>
        <v>Uforobban</v>
      </c>
      <c r="C187">
        <f>Members!K186</f>
        <v>33328</v>
      </c>
      <c r="D187">
        <f>Members!H186</f>
        <v>0</v>
      </c>
      <c r="E187" t="e">
        <f t="shared" si="2"/>
        <v>#N/A</v>
      </c>
    </row>
    <row r="188" spans="1:5" hidden="1" x14ac:dyDescent="0.35">
      <c r="A188" t="e">
        <f>Members!D187</f>
        <v>#N/A</v>
      </c>
      <c r="B188" t="str">
        <f>Members!J187</f>
        <v>uty</v>
      </c>
      <c r="C188">
        <f>Members!K187</f>
        <v>18771</v>
      </c>
      <c r="D188">
        <f>Members!H187</f>
        <v>0</v>
      </c>
      <c r="E188" t="e">
        <f t="shared" si="2"/>
        <v>#N/A</v>
      </c>
    </row>
    <row r="189" spans="1:5" hidden="1" x14ac:dyDescent="0.35">
      <c r="A189" t="e">
        <f>Members!D188</f>
        <v>#N/A</v>
      </c>
      <c r="B189" t="str">
        <f>Members!J188</f>
        <v>WhatYes</v>
      </c>
      <c r="C189">
        <f>Members!K188</f>
        <v>296</v>
      </c>
      <c r="D189">
        <f>Members!H188</f>
        <v>0</v>
      </c>
      <c r="E189" t="e">
        <f t="shared" si="2"/>
        <v>#N/A</v>
      </c>
    </row>
    <row r="190" spans="1:5" hidden="1" x14ac:dyDescent="0.35">
      <c r="A190" t="e">
        <f>Members!D189</f>
        <v>#N/A</v>
      </c>
      <c r="B190" t="str">
        <f>Members!J189</f>
        <v>WhiteWolf</v>
      </c>
      <c r="C190">
        <f>Members!K189</f>
        <v>1106</v>
      </c>
      <c r="D190">
        <f>Members!H189</f>
        <v>0</v>
      </c>
      <c r="E190" t="e">
        <f t="shared" si="2"/>
        <v>#N/A</v>
      </c>
    </row>
    <row r="191" spans="1:5" hidden="1" x14ac:dyDescent="0.35">
      <c r="A191" t="e">
        <f>Members!D190</f>
        <v>#N/A</v>
      </c>
      <c r="B191" t="str">
        <f>Members!J190</f>
        <v>wjg58</v>
      </c>
      <c r="C191">
        <f>Members!K190</f>
        <v>22660</v>
      </c>
      <c r="D191">
        <f>Members!H190</f>
        <v>0</v>
      </c>
      <c r="E191" t="e">
        <f t="shared" si="2"/>
        <v>#N/A</v>
      </c>
    </row>
    <row r="192" spans="1:5" hidden="1" x14ac:dyDescent="0.35">
      <c r="A192" t="e">
        <f>Members!D191</f>
        <v>#N/A</v>
      </c>
      <c r="B192" t="str">
        <f>Members!J191</f>
        <v>XR753</v>
      </c>
      <c r="C192">
        <f>Members!K191</f>
        <v>26178</v>
      </c>
      <c r="D192">
        <f>Members!H191</f>
        <v>0</v>
      </c>
      <c r="E192" t="e">
        <f t="shared" si="2"/>
        <v>#N/A</v>
      </c>
    </row>
    <row r="193" spans="1:5" hidden="1" x14ac:dyDescent="0.35">
      <c r="A193" t="e">
        <f>Members!D192</f>
        <v>#N/A</v>
      </c>
      <c r="B193" t="str">
        <f>Members!J192</f>
        <v>yone</v>
      </c>
      <c r="C193">
        <f>Members!K192</f>
        <v>16036</v>
      </c>
      <c r="D193">
        <f>Members!H192</f>
        <v>0</v>
      </c>
      <c r="E193" t="e">
        <f t="shared" si="2"/>
        <v>#N/A</v>
      </c>
    </row>
    <row r="194" spans="1:5" hidden="1" x14ac:dyDescent="0.35">
      <c r="A194" t="e">
        <f>Members!D193</f>
        <v>#N/A</v>
      </c>
      <c r="B194" t="str">
        <f>Members!J193</f>
        <v>yopplat</v>
      </c>
      <c r="C194">
        <f>Members!K193</f>
        <v>23706</v>
      </c>
      <c r="D194">
        <f>Members!H193</f>
        <v>0</v>
      </c>
      <c r="E194" t="e">
        <f t="shared" si="2"/>
        <v>#N/A</v>
      </c>
    </row>
  </sheetData>
  <autoFilter ref="A5:D194" xr:uid="{45BE9C25-0695-4516-9A46-FBDFF7F3C3BD}">
    <filterColumn colId="0">
      <filters>
        <filter val="1a"/>
        <filter val="2a"/>
        <filter val="2b"/>
        <filter val="3a"/>
        <filter val="3b"/>
        <filter val="3c"/>
        <filter val="4a"/>
        <filter val="4c"/>
        <filter val="4d"/>
        <filter val="5a"/>
        <filter val="5b"/>
        <filter val="5c"/>
      </filters>
    </filterColumn>
    <filterColumn colId="3">
      <filters>
        <filter val="0"/>
      </filters>
    </filterColumn>
  </autoFilter>
  <mergeCells count="1">
    <mergeCell ref="A1:D3"/>
  </mergeCells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new league structure</vt:lpstr>
      <vt:lpstr>Info for Memberlist</vt:lpstr>
      <vt:lpstr>Members</vt:lpstr>
      <vt:lpstr>Tabelle1</vt:lpstr>
      <vt:lpstr>Moderators</vt:lpstr>
      <vt:lpstr>Invitations</vt:lpstr>
      <vt:lpstr>New members</vt:lpstr>
      <vt:lpstr>GetUserProfiles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rainer</dc:creator>
  <cp:lastModifiedBy>Rainer Rogatzki</cp:lastModifiedBy>
  <cp:lastPrinted>2022-06-22T22:24:18Z</cp:lastPrinted>
  <dcterms:created xsi:type="dcterms:W3CDTF">2019-06-30T12:06:23Z</dcterms:created>
  <dcterms:modified xsi:type="dcterms:W3CDTF">2025-08-08T01:48:58Z</dcterms:modified>
</cp:coreProperties>
</file>
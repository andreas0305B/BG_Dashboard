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43F91D1C-B24B-41FA-87B1-A707700DF053}" xr6:coauthVersionLast="47" xr6:coauthVersionMax="47" xr10:uidLastSave="{00000000-0000-0000-0000-000000000000}"/>
  <bookViews>
    <workbookView xWindow="-110" yWindow="-110" windowWidth="25820" windowHeight="15500" firstSheet="1" activeTab="4"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<sst xmlns="http://schemas.openxmlformats.org/spreadsheetml/2006/main" count="1761" uniqueCount="253">
  <si>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</si>
  <si>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</si>
  <si>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</si>
  <si>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</si>
  <si>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</si>
  <si>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</si>
  <si>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</si>
  <si>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</si>
  <si>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</si>
  <si>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</si>
  <si>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</si>
  <si>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</si>
  <si>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</si>
  <si>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</si>
  <si>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</si>
  <si>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</si>
  <si>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</si>
  <si>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</si>
  <si>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</si>
  <si>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</si>
  <si>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</si>
  <si>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</si>
  <si>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</si>
  <si>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</si>
  <si>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</si>
  <si>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</si>
  <si>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</si>
  <si>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</si>
  <si>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</si>
  <si>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</si>
  <si>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</si>
  <si>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</si>
  <si>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</si>
  <si>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</si>
  <si>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</si>
  <si>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</si>
  <si>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</si>
  <si>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</si>
  <si>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</si>
  <si>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</si>
  <si>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</si>
  <si>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</si>
  <si>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</si>
  <si>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</si>
  <si>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</si>
  <si>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</si>
  <si>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</si>
  <si>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</si>
  <si>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</si>
  <si>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</si>
  <si>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</si>
  <si>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</si>
  <si>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</si>
  <si>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1a</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</si>
  <si>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</si>
  <si>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</si>
  <si>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</si>
  <si>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</si>
  <si>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</si>
  <si>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</si>
  <si>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</si>
  <si>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</si>
  <si>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</si>
  <si>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</si>
  <si>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</si>
  <si>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</si>
  <si>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</si>
  <si>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</si>
  <si>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</si>
  <si>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</si>
  <si>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</si>
  <si>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</si>
  <si>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</si>
  <si>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</si>
  <si>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</si>
  <si>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</si>
  <si>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</si>
  <si>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</si>
  <si>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</si>
  <si>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</si>
  <si>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</si>
  <si>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</si>
  <si>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</si>
  <si>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</si>
  <si>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</si>
  <si>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</si>
  <si>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</si>
  <si>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</si>
  <si>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</si>
  <si>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</si>
  <si>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</si>
  <si>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</si>
  <si>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</si>
  <si>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</si>
  <si>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</si>
  <si>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</si>
  <si>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</si>
  <si>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</si>
  <si>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</si>
  <si>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</si>
  <si>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</si>
  <si>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</si>
  <si>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</si>
  <si>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</si>
  <si>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</si>
  <si>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</si>
  <si>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</si>
  <si>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</si>
  <si>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</si>
  <si>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</si>
  <si>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</si>
  <si>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</si>
  <si>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</si>
  <si>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</si>
  <si>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</si>
  <si>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</si>
  <si>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</si>
  <si>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</si>
  <si>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</si>
  <si>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</si>
  <si>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</si>
  <si>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</si>
  <si>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</si>
  <si>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</si>
  <si>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</si>
  <si>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</si>
  <si>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</si>
  <si>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</si>
  <si>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</si>
  <si>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</si>
  <si>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</si>
  <si>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</si>
  <si>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</si>
  <si>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</si>
  <si>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</si>
  <si>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</si>
  <si>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</si>
  <si>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</si>
  <si>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</si>
  <si>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</si>
  <si>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</si>
  <si>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</si>
  <si>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</si>
  <si>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</si>
  <si>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</si>
  <si>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</si>
  <si>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</si>
  <si>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</si>
  <si>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</si>
  <si>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</si>
  <si>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</si>
  <si>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</si>
  <si>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</si>
  <si>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</si>
  <si>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</si>
  <si>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</si>
  <si>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</si>
  <si>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</si>
  <si>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</si>
  <si>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</si>
  <si>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</si>
  <si>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</si>
  <si>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</si>
  <si>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</si>
  <si>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</si>
  <si>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</si>
  <si>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</si>
  <si>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</si>
  <si>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</si>
  <si>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</si>
  <si>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</si>
  <si>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</si>
  <si>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</si>
  <si>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</si>
  <si>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</si>
  <si>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</si>
  <si>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</si>
  <si>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</si>
  <si>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</si>
  <si>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</si>
  <si>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</si>
  <si>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</si>
  <si>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</si>
  <si>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</si>
  <si>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</si>
  <si>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</si>
  <si>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</si>
  <si>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</si>
  <si>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</si>
  <si>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</si>
  <si>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</si>
  <si>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</si>
  <si>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</si>
  <si>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</si>
  <si>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</si>
  <si>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</si>
  <si>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</si>
  <si>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</si>
  <si>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</si>
  <si>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</si>
  <si>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</si>
  <si>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</si>
  <si>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</si>
  <si>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</si>
  <si>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</si>
  <si>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</si>
  <si>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</si>
  <si>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</si>
  <si>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</si>
  <si>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</si>
  <si>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</si>
  <si>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</si>
  <si>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</si>
  <si>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</si>
  <si>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</si>
  <si>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</si>
  <si>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</si>
  <si>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</si>
  <si>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</si>
  <si>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</si>
  <si>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</si>
  <si>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</si>
  <si>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</si>
  <si>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</si>
  <si>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</si>
  <si>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</si>
  <si>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</si>
  <si>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</si>
  <si>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</si>
  <si>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</si>
  <si>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</si>
  <si>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</si>
  <si>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</si>
  <si>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</si>
  <si>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</si>
  <si>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</si>
  <si>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</si>
  <si>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</si>
  <si>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</si>
  <si>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</si>
  <si>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</si>
  <si>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</si>
  <si>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</si>
  <si>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</si>
  <si>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</si>
  <si>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</si>
  <si>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</si>
  <si>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</si>
  <si>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</si>
  <si>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</si>
  <si>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JJ Rio</t>
  </si>
  <si>
    <t>noundog</t>
  </si>
  <si>
    <t>Susanni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</si>
</sst>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98">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1" fillId="0" borderId="0" xfId="1" applyAlignment="1">
      <alignment vertical="center"/>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8719" TargetMode="External"/><Relationship Id="rId3" Type="http://schemas.openxmlformats.org/officeDocument/2006/relationships/hyperlink" Target="http://www.dailygammon.com/bg/user/14866" TargetMode="External"/><Relationship Id="rId7" Type="http://schemas.openxmlformats.org/officeDocument/2006/relationships/hyperlink" Target="http://www.dailygammon.com/bg/user/38369" TargetMode="External"/><Relationship Id="rId2" Type="http://schemas.openxmlformats.org/officeDocument/2006/relationships/hyperlink" Target="http://www.dailygammon.com/bg/user/31655" TargetMode="External"/><Relationship Id="rId1" Type="http://schemas.openxmlformats.org/officeDocument/2006/relationships/hyperlink" Target="http://www.dailygammon.com/bg/user/26890" TargetMode="External"/><Relationship Id="rId6" Type="http://schemas.openxmlformats.org/officeDocument/2006/relationships/hyperlink" Target="http://www.dailygammon.com/bg/user/33344" TargetMode="External"/><Relationship Id="rId11" Type="http://schemas.openxmlformats.org/officeDocument/2006/relationships/printerSettings" Target="../printerSettings/printerSettings2.bin"/><Relationship Id="rId5" Type="http://schemas.openxmlformats.org/officeDocument/2006/relationships/hyperlink" Target="http://www.dailygammon.com/bg/user/33060" TargetMode="External"/><Relationship Id="rId10" Type="http://schemas.openxmlformats.org/officeDocument/2006/relationships/hyperlink" Target="http://www.dailygammon.com/bg/user/18758" TargetMode="External"/><Relationship Id="rId4" Type="http://schemas.openxmlformats.org/officeDocument/2006/relationships/hyperlink" Target="http://www.dailygammon.com/bg/user/21605" TargetMode="External"/><Relationship Id="rId9" Type="http://schemas.openxmlformats.org/officeDocument/2006/relationships/hyperlink" Target="http://www.dailygammon.com/bg/user/4872"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60"/>
    <col min="2" max="2" width="76.90625" style="61" customWidth="1"/>
    <col min="3" max="16384" width="11.54296875" style="60"/>
  </cols>
  <sheetData>
    <row r="1" spans="1:2" x14ac:dyDescent="0.35">
      <c r="A1" s="60" t="s">
        <v>170</v>
      </c>
    </row>
    <row r="2" spans="1:2" ht="159.5" x14ac:dyDescent="0.35">
      <c r="A2" s="60" t="s">
        <v>171</v>
      </c>
      <c r="B2" s="61" t="s">
        <v>172</v>
      </c>
    </row>
    <row r="3" spans="1:2" ht="58" x14ac:dyDescent="0.35">
      <c r="A3" s="60" t="s">
        <v>173</v>
      </c>
      <c r="B3" s="61" t="s">
        <v>174</v>
      </c>
    </row>
    <row r="4" spans="1:2" ht="43.5" x14ac:dyDescent="0.35">
      <c r="A4" s="60" t="s">
        <v>175</v>
      </c>
      <c r="B4" s="61" t="s">
        <v>176</v>
      </c>
    </row>
    <row r="5" spans="1:2" ht="58" x14ac:dyDescent="0.35">
      <c r="A5" s="60" t="s">
        <v>177</v>
      </c>
      <c r="B5" s="61" t="s">
        <v>178</v>
      </c>
    </row>
    <row r="6" spans="1:2" ht="261" x14ac:dyDescent="0.35">
      <c r="A6" s="62" t="s">
        <v>180</v>
      </c>
      <c r="B6" s="63" t="s">
        <v>188</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workbookViewId="0">
      <selection activeCell="D2" sqref="D2:D11"/>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53</v>
      </c>
      <c r="D1" t="s">
        <v>29</v>
      </c>
    </row>
    <row r="2" spans="1:4" ht="15.5" x14ac:dyDescent="0.35">
      <c r="A2" s="31" t="s">
        <v>55</v>
      </c>
      <c r="B2" s="3" t="s">
        <v>14</v>
      </c>
      <c r="D2" s="21"/>
    </row>
    <row r="3" spans="1:4" x14ac:dyDescent="0.35">
      <c r="A3" s="31" t="s">
        <v>58</v>
      </c>
      <c r="D3" s="21"/>
    </row>
    <row r="4" spans="1:4" x14ac:dyDescent="0.35">
      <c r="A4" s="31" t="s">
        <v>250</v>
      </c>
      <c r="D4" s="21"/>
    </row>
    <row r="5" spans="1:4" x14ac:dyDescent="0.35">
      <c r="A5" s="31" t="s">
        <v>59</v>
      </c>
      <c r="D5" s="21"/>
    </row>
    <row r="6" spans="1:4" x14ac:dyDescent="0.35">
      <c r="A6" s="31" t="s">
        <v>251</v>
      </c>
      <c r="D6" s="21"/>
    </row>
    <row r="7" spans="1:4" x14ac:dyDescent="0.35">
      <c r="A7" s="31" t="s">
        <v>116</v>
      </c>
      <c r="D7" s="21"/>
    </row>
    <row r="8" spans="1:4" x14ac:dyDescent="0.35">
      <c r="A8" s="31" t="s">
        <v>182</v>
      </c>
      <c r="D8" s="21"/>
    </row>
    <row r="9" spans="1:4" x14ac:dyDescent="0.35">
      <c r="A9" s="59" t="s">
        <v>252</v>
      </c>
      <c r="D9" s="21"/>
    </row>
    <row r="10" spans="1:4" x14ac:dyDescent="0.35">
      <c r="A10" s="59" t="s">
        <v>168</v>
      </c>
      <c r="D10" s="21"/>
    </row>
    <row r="11" spans="1:4" x14ac:dyDescent="0.35">
      <c r="A11" s="31" t="s">
        <v>61</v>
      </c>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4" r:id="rId1" xr:uid="{277B8450-4EE8-4818-A8B3-C9DCAE01E692}"/>
    <hyperlink ref="A3" r:id="rId2" xr:uid="{1D62BE78-FCDB-4F98-AE43-16A640D901A5}"/>
    <hyperlink ref="A8" r:id="rId3" xr:uid="{838AC587-E2DE-4825-8605-0C034FBA4D57}"/>
    <hyperlink ref="A7" r:id="rId4" display="Phinneas" xr:uid="{F8C8045B-C6E0-4F49-BA01-B458195F8442}"/>
    <hyperlink ref="A6" r:id="rId5" xr:uid="{47DD8EFE-35FA-48C2-9F06-6B872F7932B7}"/>
    <hyperlink ref="A5" r:id="rId6" xr:uid="{C6B3DC2D-1C81-40FD-9E86-23C61385D24C}"/>
    <hyperlink ref="A11" r:id="rId7" xr:uid="{513479E6-7242-496B-94EA-F3492B96E324}"/>
    <hyperlink ref="A2" r:id="rId8" xr:uid="{95283FCA-AC56-415B-B13C-3B77CC967D58}"/>
    <hyperlink ref="A10" r:id="rId9" display="jebediasmie" xr:uid="{B082C40C-EDA7-44AA-8A47-8FD87CE38137}"/>
    <hyperlink ref="A9" r:id="rId10" xr:uid="{20056CB9-D465-42DE-BBBD-7C4864B8E6AA}"/>
  </hyperlinks>
  <pageMargins left="0.7" right="0.7" top="0.78740157499999996" bottom="0.78740157499999996"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3" t="s">
        <v>3</v>
      </c>
      <c r="W1" s="84"/>
      <c r="X1" s="84"/>
      <c r="Y1" s="84"/>
      <c r="Z1" s="84"/>
      <c r="AA1" s="85"/>
      <c r="AB1" s="83" t="s">
        <v>9</v>
      </c>
      <c r="AC1" s="84"/>
      <c r="AD1" s="84"/>
      <c r="AE1" s="84"/>
      <c r="AF1" s="84"/>
      <c r="AG1" s="84"/>
      <c r="AH1" s="84"/>
      <c r="AI1" s="69"/>
    </row>
    <row r="2" spans="1:57" x14ac:dyDescent="0.35">
      <c r="V2" s="87" t="s">
        <v>6</v>
      </c>
      <c r="W2" s="88"/>
      <c r="X2" s="88" t="s">
        <v>7</v>
      </c>
      <c r="Y2" s="88"/>
      <c r="Z2" s="71"/>
      <c r="AA2" s="72"/>
      <c r="AB2" s="70"/>
      <c r="AC2" s="71"/>
      <c r="AD2" s="88" t="s">
        <v>6</v>
      </c>
      <c r="AE2" s="88"/>
      <c r="AF2" s="88" t="s">
        <v>7</v>
      </c>
      <c r="AG2" s="88"/>
      <c r="AH2" s="89" t="s">
        <v>8</v>
      </c>
      <c r="AI2" s="90"/>
    </row>
    <row r="3" spans="1:57" ht="100.25" customHeight="1" x14ac:dyDescent="0.35">
      <c r="A3" s="32" t="str">
        <f>Group</f>
        <v>1a</v>
      </c>
      <c r="B3" s="86" t="str">
        <f>$A4</f>
        <v>API</v>
      </c>
      <c r="C3" s="86"/>
      <c r="D3" s="86" t="str">
        <f>$A5</f>
        <v>hcc1670</v>
      </c>
      <c r="E3" s="86"/>
      <c r="F3" s="86" t="str">
        <f>$A6</f>
        <v>JJ Rio</v>
      </c>
      <c r="G3" s="86"/>
      <c r="H3" s="86" t="str">
        <f>$A7</f>
        <v>Mattias Roos</v>
      </c>
      <c r="I3" s="86"/>
      <c r="J3" s="86" t="str">
        <f>$A8</f>
        <v>noundog</v>
      </c>
      <c r="K3" s="86"/>
      <c r="L3" s="86" t="str">
        <f>$A9</f>
        <v>phinneas</v>
      </c>
      <c r="M3" s="86"/>
      <c r="N3" s="86" t="str">
        <f>$A10</f>
        <v>Rasp</v>
      </c>
      <c r="O3" s="86"/>
      <c r="P3" s="86" t="str">
        <f>$A11</f>
        <v>Susanni</v>
      </c>
      <c r="Q3" s="86"/>
      <c r="R3" s="86" t="str">
        <f>$A12</f>
        <v>Willie Wonka</v>
      </c>
      <c r="S3" s="86"/>
      <c r="T3" s="86" t="str">
        <f>$A13</f>
        <v>Zenswang</v>
      </c>
      <c r="U3" s="91"/>
      <c r="V3" s="1" t="s">
        <v>0</v>
      </c>
      <c r="W3" t="s">
        <v>1</v>
      </c>
      <c r="X3" t="s">
        <v>0</v>
      </c>
      <c r="Y3" t="s">
        <v>1</v>
      </c>
      <c r="Z3" t="s">
        <v>10</v>
      </c>
      <c r="AA3" s="69" t="s">
        <v>11</v>
      </c>
      <c r="AB3" s="1" t="s">
        <v>10</v>
      </c>
      <c r="AC3" t="s">
        <v>11</v>
      </c>
      <c r="AD3" t="s">
        <v>0</v>
      </c>
      <c r="AE3" t="s">
        <v>1</v>
      </c>
      <c r="AF3" t="s">
        <v>0</v>
      </c>
      <c r="AG3" t="s">
        <v>1</v>
      </c>
      <c r="AH3" t="s">
        <v>6</v>
      </c>
      <c r="AI3" s="69" t="s">
        <v>7</v>
      </c>
      <c r="AJ3" s="92" t="s">
        <v>38</v>
      </c>
      <c r="AK3" s="93"/>
      <c r="AL3" s="93"/>
      <c r="AM3" s="93"/>
      <c r="AN3" s="93"/>
      <c r="AO3" s="93"/>
      <c r="AP3" s="93"/>
      <c r="AQ3" s="93"/>
      <c r="AR3" s="93"/>
      <c r="AS3" s="93"/>
      <c r="AT3" s="93"/>
      <c r="AU3" s="92" t="s">
        <v>39</v>
      </c>
      <c r="AV3" s="93"/>
      <c r="AW3" s="93"/>
      <c r="AX3" s="93"/>
      <c r="AY3" s="93"/>
      <c r="AZ3" s="93"/>
      <c r="BA3" s="93"/>
      <c r="BB3" s="93"/>
      <c r="BC3" s="93"/>
      <c r="BD3" s="93"/>
      <c r="BE3" s="93"/>
    </row>
    <row r="4" spans="1:57" x14ac:dyDescent="0.35">
      <c r="A4" s="33" t="str">
        <f>IF(Player1="","",Player1)</f>
        <v>API</v>
      </c>
      <c r="B4" s="82"/>
      <c r="C4" s="82"/>
      <c r="D4" s="73"/>
      <c r="E4" s="73"/>
      <c r="F4" s="74"/>
      <c r="G4" s="74"/>
      <c r="H4" s="73"/>
      <c r="I4" s="73"/>
      <c r="J4" s="73"/>
      <c r="K4" s="73"/>
      <c r="L4" s="73"/>
      <c r="M4" s="73"/>
      <c r="N4" s="73"/>
      <c r="O4" s="73"/>
      <c r="P4" s="73"/>
      <c r="Q4" s="73"/>
      <c r="R4" s="73"/>
      <c r="S4" s="73"/>
      <c r="T4" s="73"/>
      <c r="U4" s="75"/>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9">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9">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hcc1670</v>
      </c>
      <c r="B5" s="73"/>
      <c r="C5" s="73"/>
      <c r="D5" s="76"/>
      <c r="E5" s="76"/>
      <c r="F5" s="73"/>
      <c r="G5" s="73"/>
      <c r="H5" s="73"/>
      <c r="I5" s="73"/>
      <c r="J5" s="77"/>
      <c r="K5" s="77"/>
      <c r="L5" s="73"/>
      <c r="M5" s="73"/>
      <c r="N5" s="73"/>
      <c r="O5" s="73"/>
      <c r="P5" s="73"/>
      <c r="Q5" s="73"/>
      <c r="R5" s="73"/>
      <c r="S5" s="73"/>
      <c r="T5" s="73"/>
      <c r="U5" s="75"/>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9">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9">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JJ Rio</v>
      </c>
      <c r="B6" s="74"/>
      <c r="C6" s="74"/>
      <c r="D6" s="74"/>
      <c r="E6" s="74"/>
      <c r="F6" s="76"/>
      <c r="G6" s="76"/>
      <c r="H6" s="73"/>
      <c r="I6" s="73"/>
      <c r="J6" s="73"/>
      <c r="K6" s="73"/>
      <c r="L6" s="73"/>
      <c r="M6" s="73"/>
      <c r="N6" s="73"/>
      <c r="O6" s="73"/>
      <c r="P6" s="73"/>
      <c r="Q6" s="73"/>
      <c r="R6" s="73"/>
      <c r="S6" s="73"/>
      <c r="T6" s="73"/>
      <c r="U6" s="75"/>
      <c r="V6" s="1">
        <f t="shared" si="22"/>
        <v>0</v>
      </c>
      <c r="W6">
        <f t="shared" si="23"/>
        <v>0</v>
      </c>
      <c r="X6">
        <f t="shared" si="24"/>
        <v>0</v>
      </c>
      <c r="Y6">
        <f t="shared" si="25"/>
        <v>0</v>
      </c>
      <c r="Z6">
        <f t="shared" si="26"/>
        <v>0</v>
      </c>
      <c r="AA6" s="69">
        <f t="shared" si="27"/>
        <v>0</v>
      </c>
      <c r="AB6" s="1">
        <f>Z6+F$16</f>
        <v>0</v>
      </c>
      <c r="AC6">
        <f>AA6+G$16</f>
        <v>0</v>
      </c>
      <c r="AD6">
        <f>V6+G14</f>
        <v>0</v>
      </c>
      <c r="AE6">
        <f>W6+F14</f>
        <v>0</v>
      </c>
      <c r="AF6">
        <f>X6+G$15</f>
        <v>0</v>
      </c>
      <c r="AG6">
        <f>Y6+F$15</f>
        <v>0</v>
      </c>
      <c r="AH6">
        <f t="shared" si="0"/>
        <v>0</v>
      </c>
      <c r="AI6" s="69">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Mattias Roos</v>
      </c>
      <c r="B7" s="73"/>
      <c r="C7" s="73"/>
      <c r="D7" s="73"/>
      <c r="E7" s="73"/>
      <c r="F7" s="73"/>
      <c r="G7" s="73"/>
      <c r="H7" s="76"/>
      <c r="I7" s="76"/>
      <c r="J7" s="73"/>
      <c r="K7" s="73"/>
      <c r="L7" s="73"/>
      <c r="M7" s="73"/>
      <c r="N7" s="73"/>
      <c r="O7" s="73"/>
      <c r="P7" s="73"/>
      <c r="Q7" s="73"/>
      <c r="R7" s="73"/>
      <c r="S7" s="73"/>
      <c r="T7" s="73"/>
      <c r="U7" s="75"/>
      <c r="V7" s="1">
        <f t="shared" si="22"/>
        <v>0</v>
      </c>
      <c r="W7">
        <f t="shared" si="23"/>
        <v>0</v>
      </c>
      <c r="X7">
        <f t="shared" si="24"/>
        <v>0</v>
      </c>
      <c r="Y7">
        <f t="shared" si="25"/>
        <v>0</v>
      </c>
      <c r="Z7">
        <f t="shared" si="26"/>
        <v>0</v>
      </c>
      <c r="AA7" s="69">
        <f t="shared" si="27"/>
        <v>0</v>
      </c>
      <c r="AB7" s="1">
        <f>Z7+H$16</f>
        <v>0</v>
      </c>
      <c r="AC7">
        <f>AA7+I$16</f>
        <v>0</v>
      </c>
      <c r="AD7">
        <f>V7+I$14</f>
        <v>0</v>
      </c>
      <c r="AE7">
        <f>W7+H$14</f>
        <v>0</v>
      </c>
      <c r="AF7">
        <f>X7+I$15</f>
        <v>0</v>
      </c>
      <c r="AG7">
        <f>Y7+H$15</f>
        <v>0</v>
      </c>
      <c r="AH7">
        <f t="shared" si="0"/>
        <v>0</v>
      </c>
      <c r="AI7" s="69">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noundog</v>
      </c>
      <c r="B8" s="73"/>
      <c r="C8" s="73"/>
      <c r="D8" s="76"/>
      <c r="E8" s="76"/>
      <c r="F8" s="73"/>
      <c r="G8" s="73"/>
      <c r="H8" s="76"/>
      <c r="I8" s="76"/>
      <c r="J8" s="76"/>
      <c r="K8" s="76"/>
      <c r="L8" s="76"/>
      <c r="M8" s="76"/>
      <c r="N8" s="73"/>
      <c r="O8" s="73"/>
      <c r="P8" s="73"/>
      <c r="Q8" s="73"/>
      <c r="R8" s="73"/>
      <c r="S8" s="73"/>
      <c r="T8" s="73"/>
      <c r="U8" s="75"/>
      <c r="V8" s="1">
        <f t="shared" si="22"/>
        <v>0</v>
      </c>
      <c r="W8">
        <f t="shared" si="23"/>
        <v>0</v>
      </c>
      <c r="X8">
        <f t="shared" si="24"/>
        <v>0</v>
      </c>
      <c r="Y8">
        <f t="shared" si="25"/>
        <v>0</v>
      </c>
      <c r="Z8">
        <f t="shared" si="26"/>
        <v>0</v>
      </c>
      <c r="AA8" s="69">
        <f t="shared" si="27"/>
        <v>0</v>
      </c>
      <c r="AB8" s="1">
        <f>Z8+J$16</f>
        <v>0</v>
      </c>
      <c r="AC8">
        <f>AA8+K$16</f>
        <v>0</v>
      </c>
      <c r="AD8">
        <f>V8+K$14</f>
        <v>0</v>
      </c>
      <c r="AE8">
        <f>W8+J$14</f>
        <v>0</v>
      </c>
      <c r="AF8">
        <f>X8+K$15</f>
        <v>0</v>
      </c>
      <c r="AG8">
        <f>Y8+J$15</f>
        <v>0</v>
      </c>
      <c r="AH8">
        <f t="shared" si="0"/>
        <v>0</v>
      </c>
      <c r="AI8" s="69">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phinneas</v>
      </c>
      <c r="B9" s="73"/>
      <c r="C9" s="73"/>
      <c r="D9" s="73"/>
      <c r="E9" s="73"/>
      <c r="F9" s="73"/>
      <c r="G9" s="73"/>
      <c r="H9" s="73"/>
      <c r="I9" s="73"/>
      <c r="J9" s="73"/>
      <c r="K9" s="73"/>
      <c r="L9" s="76"/>
      <c r="M9" s="76"/>
      <c r="N9" s="73"/>
      <c r="O9" s="73"/>
      <c r="P9" s="73"/>
      <c r="Q9" s="73"/>
      <c r="R9" s="73"/>
      <c r="S9" s="73"/>
      <c r="T9" s="73"/>
      <c r="U9" s="75"/>
      <c r="V9" s="1">
        <f t="shared" si="22"/>
        <v>0</v>
      </c>
      <c r="W9">
        <f t="shared" si="23"/>
        <v>0</v>
      </c>
      <c r="X9">
        <f t="shared" si="24"/>
        <v>0</v>
      </c>
      <c r="Y9">
        <f t="shared" si="25"/>
        <v>0</v>
      </c>
      <c r="Z9">
        <f t="shared" si="26"/>
        <v>0</v>
      </c>
      <c r="AA9" s="69">
        <f t="shared" si="27"/>
        <v>0</v>
      </c>
      <c r="AB9" s="1">
        <f>Z9+L$16</f>
        <v>0</v>
      </c>
      <c r="AC9">
        <f>AA9+M$16</f>
        <v>0</v>
      </c>
      <c r="AD9">
        <f>V9+M$14</f>
        <v>0</v>
      </c>
      <c r="AE9">
        <f>W9+L$14</f>
        <v>0</v>
      </c>
      <c r="AF9">
        <f>X9+M$15</f>
        <v>0</v>
      </c>
      <c r="AG9">
        <f>Y9+L$15</f>
        <v>0</v>
      </c>
      <c r="AH9">
        <f t="shared" si="0"/>
        <v>0</v>
      </c>
      <c r="AI9" s="69">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Rasp</v>
      </c>
      <c r="B10" s="73"/>
      <c r="C10" s="73"/>
      <c r="D10" s="73"/>
      <c r="E10" s="73"/>
      <c r="F10" s="73"/>
      <c r="G10" s="73"/>
      <c r="H10" s="73"/>
      <c r="I10" s="73"/>
      <c r="J10" s="73"/>
      <c r="K10" s="73"/>
      <c r="L10" s="73"/>
      <c r="M10" s="73"/>
      <c r="N10" s="76"/>
      <c r="O10" s="76"/>
      <c r="P10" s="73"/>
      <c r="Q10" s="73"/>
      <c r="R10" s="73"/>
      <c r="S10" s="73"/>
      <c r="T10" s="73"/>
      <c r="U10" s="75"/>
      <c r="V10" s="1">
        <f t="shared" si="22"/>
        <v>0</v>
      </c>
      <c r="W10">
        <f t="shared" si="23"/>
        <v>0</v>
      </c>
      <c r="X10">
        <f t="shared" si="24"/>
        <v>0</v>
      </c>
      <c r="Y10">
        <f t="shared" si="25"/>
        <v>0</v>
      </c>
      <c r="Z10">
        <f t="shared" si="26"/>
        <v>0</v>
      </c>
      <c r="AA10" s="69">
        <f t="shared" si="27"/>
        <v>0</v>
      </c>
      <c r="AB10" s="1">
        <f>Z10+N$16</f>
        <v>0</v>
      </c>
      <c r="AC10">
        <f>AA10+O$16</f>
        <v>0</v>
      </c>
      <c r="AD10">
        <f>V10+O$14</f>
        <v>0</v>
      </c>
      <c r="AE10">
        <f>W10+N$14</f>
        <v>0</v>
      </c>
      <c r="AF10">
        <f>X10+O$15</f>
        <v>0</v>
      </c>
      <c r="AG10">
        <f>Y10+N$15</f>
        <v>0</v>
      </c>
      <c r="AH10">
        <f t="shared" si="0"/>
        <v>0</v>
      </c>
      <c r="AI10" s="69">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Susanni</v>
      </c>
      <c r="B11" s="73"/>
      <c r="C11" s="73"/>
      <c r="D11" s="73"/>
      <c r="E11" s="73"/>
      <c r="F11" s="74"/>
      <c r="G11" s="74"/>
      <c r="H11" s="73"/>
      <c r="I11" s="73"/>
      <c r="J11" s="73"/>
      <c r="K11" s="73"/>
      <c r="L11" s="73"/>
      <c r="M11" s="73"/>
      <c r="N11" s="73"/>
      <c r="O11" s="73"/>
      <c r="P11" s="78"/>
      <c r="Q11" s="78"/>
      <c r="R11" s="73"/>
      <c r="S11" s="73"/>
      <c r="T11" s="73"/>
      <c r="U11" s="75"/>
      <c r="V11" s="1">
        <f t="shared" si="22"/>
        <v>0</v>
      </c>
      <c r="W11">
        <f t="shared" si="23"/>
        <v>0</v>
      </c>
      <c r="X11">
        <f t="shared" si="24"/>
        <v>0</v>
      </c>
      <c r="Y11">
        <f t="shared" si="25"/>
        <v>0</v>
      </c>
      <c r="Z11">
        <f t="shared" si="26"/>
        <v>0</v>
      </c>
      <c r="AA11" s="69">
        <f t="shared" si="27"/>
        <v>0</v>
      </c>
      <c r="AB11" s="1">
        <f>Z11+P$16</f>
        <v>0</v>
      </c>
      <c r="AC11">
        <f>AA11+Q$16</f>
        <v>0</v>
      </c>
      <c r="AD11">
        <f>V11+Q$14</f>
        <v>0</v>
      </c>
      <c r="AE11">
        <f>W11+P$14</f>
        <v>0</v>
      </c>
      <c r="AF11">
        <f>X11+Q$15</f>
        <v>0</v>
      </c>
      <c r="AG11">
        <f>Y11+P$15</f>
        <v>0</v>
      </c>
      <c r="AH11">
        <f t="shared" si="0"/>
        <v>0</v>
      </c>
      <c r="AI11" s="69">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Willie Wonka</v>
      </c>
      <c r="B12" s="73"/>
      <c r="C12" s="73"/>
      <c r="D12" s="73"/>
      <c r="E12" s="73"/>
      <c r="F12" s="73"/>
      <c r="G12" s="73"/>
      <c r="H12" s="73"/>
      <c r="I12" s="73"/>
      <c r="J12" s="73"/>
      <c r="K12" s="73"/>
      <c r="L12" s="73"/>
      <c r="M12" s="73"/>
      <c r="N12" s="73"/>
      <c r="O12" s="73"/>
      <c r="P12" s="73"/>
      <c r="Q12" s="73"/>
      <c r="R12" s="78"/>
      <c r="S12" s="78"/>
      <c r="T12" s="73"/>
      <c r="U12" s="75"/>
      <c r="V12" s="1">
        <f t="shared" si="22"/>
        <v>0</v>
      </c>
      <c r="W12">
        <f t="shared" si="23"/>
        <v>0</v>
      </c>
      <c r="X12">
        <f t="shared" si="24"/>
        <v>0</v>
      </c>
      <c r="Y12">
        <f t="shared" si="25"/>
        <v>0</v>
      </c>
      <c r="Z12">
        <f t="shared" si="26"/>
        <v>0</v>
      </c>
      <c r="AA12" s="69">
        <f t="shared" si="27"/>
        <v>0</v>
      </c>
      <c r="AB12" s="1">
        <f>Z12+R$16</f>
        <v>0</v>
      </c>
      <c r="AC12">
        <f>AA12+S$16</f>
        <v>0</v>
      </c>
      <c r="AD12">
        <f>V12+S$14</f>
        <v>0</v>
      </c>
      <c r="AE12">
        <f>W12+R$14</f>
        <v>0</v>
      </c>
      <c r="AF12">
        <f>X12+S$15</f>
        <v>0</v>
      </c>
      <c r="AG12">
        <f>Y12+R$15</f>
        <v>0</v>
      </c>
      <c r="AH12">
        <f t="shared" ref="AH12" si="30">AD12+AE12</f>
        <v>0</v>
      </c>
      <c r="AI12" s="69">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Zenswang</v>
      </c>
      <c r="B13" s="79"/>
      <c r="C13" s="79"/>
      <c r="D13" s="79"/>
      <c r="E13" s="79"/>
      <c r="F13" s="79"/>
      <c r="G13" s="79"/>
      <c r="H13" s="79"/>
      <c r="I13" s="79"/>
      <c r="J13" s="79"/>
      <c r="K13" s="79"/>
      <c r="L13" s="79"/>
      <c r="M13" s="79"/>
      <c r="N13" s="79"/>
      <c r="O13" s="79"/>
      <c r="P13" s="79"/>
      <c r="Q13" s="79"/>
      <c r="R13" s="79"/>
      <c r="S13" s="79"/>
      <c r="T13" s="80"/>
      <c r="U13" s="81"/>
      <c r="V13" s="1">
        <f t="shared" si="22"/>
        <v>0</v>
      </c>
      <c r="W13">
        <f t="shared" si="23"/>
        <v>0</v>
      </c>
      <c r="X13">
        <f t="shared" si="24"/>
        <v>0</v>
      </c>
      <c r="Y13">
        <f t="shared" si="25"/>
        <v>0</v>
      </c>
      <c r="Z13">
        <f t="shared" si="26"/>
        <v>0</v>
      </c>
      <c r="AA13" s="69">
        <f t="shared" si="27"/>
        <v>0</v>
      </c>
      <c r="AB13" s="1">
        <f>Z13+T$16</f>
        <v>0</v>
      </c>
      <c r="AC13">
        <f>AA13+U$16</f>
        <v>0</v>
      </c>
      <c r="AD13">
        <f>V13+U$14</f>
        <v>0</v>
      </c>
      <c r="AE13">
        <f>W13+T$14</f>
        <v>0</v>
      </c>
      <c r="AF13">
        <f>X13+U$15</f>
        <v>0</v>
      </c>
      <c r="AG13">
        <f>Y13+T$15</f>
        <v>0</v>
      </c>
      <c r="AH13">
        <f t="shared" si="0"/>
        <v>0</v>
      </c>
      <c r="AI13" s="69">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4"/>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tabSelected="1"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4" t="s">
        <v>15</v>
      </c>
      <c r="F1" s="94"/>
      <c r="G1" s="94"/>
      <c r="H1" s="94" t="s">
        <v>12</v>
      </c>
      <c r="I1" s="94"/>
      <c r="J1" s="94"/>
      <c r="K1" s="94"/>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Rasp</v>
      </c>
      <c r="B3" s="44" t="str">
        <f>(C3+D3) &amp;"/" &amp; (COUNTA(Players!A:A)-2)*2</f>
        <v>0/18</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18</v>
      </c>
      <c r="O3" s="50" t="str">
        <f>IF(A3="","",IF(VLOOKUP(A3,Players!A$2:D$11,4,FALSE)="","",VLOOKUP(A3,Players!A$2:D$11,4,FALSE)))</f>
        <v/>
      </c>
      <c r="P3">
        <f>VLOOKUP(A3,'Tournament win prognosis'!A$1:K$11,10,FALSE)</f>
        <v>14</v>
      </c>
      <c r="Q3">
        <f t="shared" ref="Q3:Q12" si="3">IF(EXACT(A3,""),99,0)</f>
        <v>0</v>
      </c>
    </row>
    <row r="4" spans="1:17" x14ac:dyDescent="0.35">
      <c r="A4" s="15" t="str">
        <f>IF(Player8="","",Player8)</f>
        <v>Susanni</v>
      </c>
      <c r="B4" s="44" t="str">
        <f>(C4+D4) &amp;"/" &amp; (COUNTA(Players!A:A)-2)*2</f>
        <v>0/18</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18</v>
      </c>
      <c r="O4" s="50" t="str">
        <f>IF(A4="","",IF(VLOOKUP(A4,Players!A$2:D$11,4,FALSE)="","",VLOOKUP(A4,Players!A$2:D$11,4,FALSE)))</f>
        <v/>
      </c>
      <c r="P4">
        <f>VLOOKUP(A4,'Tournament win prognosis'!A$1:K$11,10,FALSE)</f>
        <v>13</v>
      </c>
      <c r="Q4">
        <f t="shared" si="3"/>
        <v>0</v>
      </c>
    </row>
    <row r="5" spans="1:17" x14ac:dyDescent="0.35">
      <c r="A5" s="15" t="str">
        <f>IF(Player1="","",Player1)</f>
        <v>API</v>
      </c>
      <c r="B5" s="44" t="str">
        <f>(C5+D5) &amp;"/" &amp; (COUNTA(Players!A:A)-2)*2</f>
        <v>0/18</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18</v>
      </c>
      <c r="O5" s="50" t="str">
        <f>IF(A5="","",IF(VLOOKUP(A5,Players!A$2:D$11,4,FALSE)="","",VLOOKUP(A5,Players!A$2:D$11,4,FALSE)))</f>
        <v/>
      </c>
      <c r="P5">
        <f>VLOOKUP(A5,'Tournament win prognosis'!A$1:K$11,10,FALSE)</f>
        <v>9</v>
      </c>
      <c r="Q5">
        <f t="shared" si="3"/>
        <v>0</v>
      </c>
    </row>
    <row r="6" spans="1:17" x14ac:dyDescent="0.35">
      <c r="A6" s="15" t="str">
        <f>IF(Player9="","",Player9)</f>
        <v>Willie Wonka</v>
      </c>
      <c r="B6" s="44" t="str">
        <f>(C6+D6) &amp;"/" &amp; (COUNTA(Players!A:A)-2)*2</f>
        <v>0/18</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18</v>
      </c>
      <c r="O6" s="50" t="str">
        <f>IF(A6="","",IF(VLOOKUP(A6,Players!A$2:D$11,4,FALSE)="","",VLOOKUP(A6,Players!A$2:D$11,4,FALSE)))</f>
        <v/>
      </c>
      <c r="P6">
        <f>VLOOKUP(A6,'Tournament win prognosis'!A$1:K$11,10,FALSE)</f>
        <v>10</v>
      </c>
      <c r="Q6">
        <f t="shared" si="3"/>
        <v>0</v>
      </c>
    </row>
    <row r="7" spans="1:17" x14ac:dyDescent="0.35">
      <c r="A7" s="15" t="str">
        <f>IF(Player6="","",Player6)</f>
        <v>phinneas</v>
      </c>
      <c r="B7" s="44" t="str">
        <f>(C7+D7) &amp;"/" &amp; (COUNTA(Players!A:A)-2)*2</f>
        <v>0/18</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18</v>
      </c>
      <c r="O7" s="50" t="str">
        <f>IF(A7="","",IF(VLOOKUP(A7,Players!A$2:D$11,4,FALSE)="","",VLOOKUP(A7,Players!A$2:D$11,4,FALSE)))</f>
        <v/>
      </c>
      <c r="P7">
        <f>VLOOKUP(A7,'Tournament win prognosis'!A$1:K$11,10,FALSE)</f>
        <v>9</v>
      </c>
      <c r="Q7">
        <f t="shared" si="3"/>
        <v>0</v>
      </c>
    </row>
    <row r="8" spans="1:17" x14ac:dyDescent="0.35">
      <c r="A8" s="15" t="str">
        <f>IF(Player10="","",Player10)</f>
        <v>Zenswang</v>
      </c>
      <c r="B8" s="44" t="str">
        <f>(C8+D8) &amp;"/" &amp; (COUNTA(Players!A:A)-2)*2</f>
        <v>0/18</v>
      </c>
      <c r="C8" s="45">
        <f>IF(A8="","",VLOOKUP(A8,Matches!$A$4:$AI$13,29,FALSE))</f>
        <v>0</v>
      </c>
      <c r="D8" s="45">
        <f>IF(A8="","",VLOOKUP(A8,Matches!$A$4:$AI$13,28,FALSE))</f>
        <v>0</v>
      </c>
      <c r="E8" s="46">
        <f>IF(A8="","",VLOOKUP(A8,Matches!$A$4:$AI$13,30,FALSE))</f>
        <v>0</v>
      </c>
      <c r="F8" s="46">
        <f>IF(A8="","",VLOOKUP(A8,Matches!$A$4:$AI$13,31,FALSE))</f>
        <v>0</v>
      </c>
      <c r="G8" s="46">
        <f>IF(A8="","",VLOOKUP(A8,Matches!$A$4:$AI$13,34,FALSE))</f>
        <v>0</v>
      </c>
      <c r="H8" s="47">
        <f>IF(A8="","",VLOOKUP(A8,Matches!$A$4:$AI$13,32,FALSE))</f>
        <v>0</v>
      </c>
      <c r="I8" s="47">
        <f>IF(A8="","",VLOOKUP(A8,Matches!$A$4:$AI$13,33,FALSE))</f>
        <v>0</v>
      </c>
      <c r="J8" s="47">
        <f t="shared" si="0"/>
        <v>0</v>
      </c>
      <c r="K8" s="47">
        <f t="shared" si="1"/>
        <v>0</v>
      </c>
      <c r="L8" s="48">
        <f t="shared" si="2"/>
        <v>0</v>
      </c>
      <c r="M8" s="46">
        <v>-1</v>
      </c>
      <c r="N8" s="49">
        <f>IF(A8="","",((COUNTA(Players!A:A)-2)*2-K8)+C8)</f>
        <v>18</v>
      </c>
      <c r="O8" s="50" t="str">
        <f>IF(A8="","",IF(VLOOKUP(A8,Players!A$2:D$11,4,FALSE)="","",VLOOKUP(A8,Players!A$2:D$11,4,FALSE)))</f>
        <v/>
      </c>
      <c r="P8">
        <f>VLOOKUP(A8,'Tournament win prognosis'!A$1:K$11,10,FALSE)</f>
        <v>9</v>
      </c>
      <c r="Q8">
        <f t="shared" si="3"/>
        <v>0</v>
      </c>
    </row>
    <row r="9" spans="1:17" x14ac:dyDescent="0.35">
      <c r="A9" s="15" t="str">
        <f>IF(Player2="","",Player2)</f>
        <v>hcc1670</v>
      </c>
      <c r="B9" s="44" t="str">
        <f>(C9+D9) &amp;"/" &amp; (COUNTA(Players!A:A)-2)*2</f>
        <v>0/18</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18</v>
      </c>
      <c r="O9" s="50" t="str">
        <f>IF(A9="","",IF(VLOOKUP(A9,Players!A$2:D$11,4,FALSE)="","",VLOOKUP(A9,Players!A$2:D$11,4,FALSE)))</f>
        <v/>
      </c>
      <c r="P9">
        <f>VLOOKUP(A9,'Tournament win prognosis'!A$1:K$11,10,FALSE)</f>
        <v>7</v>
      </c>
      <c r="Q9">
        <f t="shared" si="3"/>
        <v>0</v>
      </c>
    </row>
    <row r="10" spans="1:17" x14ac:dyDescent="0.35">
      <c r="A10" s="15" t="str">
        <f>IF(Player4="","",Player4)</f>
        <v>Mattias Roos</v>
      </c>
      <c r="B10" s="44" t="str">
        <f>(C10+D10) &amp;"/" &amp; (COUNTA(Players!A:A)-2)*2</f>
        <v>0/18</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18</v>
      </c>
      <c r="O10" s="50" t="str">
        <f>IF(A10="","",IF(VLOOKUP(A10,Players!A$2:D$11,4,FALSE)="","",VLOOKUP(A10,Players!A$2:D$11,4,FALSE)))</f>
        <v/>
      </c>
      <c r="P10">
        <f>VLOOKUP(A10,'Tournament win prognosis'!A$1:K$11,10,FALSE)</f>
        <v>7</v>
      </c>
      <c r="Q10">
        <f t="shared" si="3"/>
        <v>0</v>
      </c>
    </row>
    <row r="11" spans="1:17" x14ac:dyDescent="0.35">
      <c r="A11" s="15" t="str">
        <f>IF(Player5="","",Player5)</f>
        <v>noundog</v>
      </c>
      <c r="B11" s="44" t="str">
        <f>(C11+D11) &amp;"/" &amp; (COUNTA(Players!A:A)-2)*2</f>
        <v>0/18</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18</v>
      </c>
      <c r="O11" s="50" t="str">
        <f>IF(A11="","",IF(VLOOKUP(A11,Players!A$2:D$11,4,FALSE)="","",VLOOKUP(A11,Players!A$2:D$11,4,FALSE)))</f>
        <v/>
      </c>
      <c r="P11">
        <f>VLOOKUP(A11,'Tournament win prognosis'!A$1:K$11,10,FALSE)</f>
        <v>5</v>
      </c>
      <c r="Q11">
        <f t="shared" si="3"/>
        <v>0</v>
      </c>
    </row>
    <row r="12" spans="1:17" x14ac:dyDescent="0.35">
      <c r="A12" s="15" t="str">
        <f>IF(Player3="","",Player3)</f>
        <v>JJ Rio</v>
      </c>
      <c r="B12" s="44" t="str">
        <f>(C12+D12) &amp;"/" &amp; (COUNTA(Players!A:A)-2)*2</f>
        <v>0/18</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18</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0/90</v>
      </c>
      <c r="C13" s="8"/>
      <c r="D13" s="8"/>
      <c r="E13" s="8"/>
      <c r="F13" s="8"/>
      <c r="G13" s="8"/>
      <c r="H13" s="8"/>
      <c r="I13" s="8"/>
      <c r="J13" s="8"/>
      <c r="K13" s="11">
        <f>SUM(K3:K12)</f>
        <v>0</v>
      </c>
      <c r="L13" s="12">
        <f>K13*100/TotalMatches/100</f>
        <v>0</v>
      </c>
      <c r="M13" s="95" t="s">
        <v>31</v>
      </c>
      <c r="N13" s="96"/>
      <c r="O13" s="22">
        <f>MIN(O3:O12)</f>
        <v>0</v>
      </c>
    </row>
    <row r="14" spans="1:17" x14ac:dyDescent="0.35">
      <c r="A14" s="8"/>
      <c r="B14" s="9"/>
      <c r="C14" s="8"/>
      <c r="D14" s="8"/>
      <c r="E14" s="8"/>
      <c r="F14" s="8"/>
      <c r="G14" s="8"/>
      <c r="H14" s="8"/>
      <c r="I14" s="8"/>
      <c r="J14" s="8"/>
      <c r="K14" s="8"/>
      <c r="L14" s="8"/>
      <c r="M14" s="17"/>
      <c r="N14" s="8"/>
      <c r="O14" s="22"/>
    </row>
    <row r="15" spans="1:17" x14ac:dyDescent="0.35">
      <c r="A15" s="14"/>
      <c r="B15" s="97" t="str">
        <f>IF(MID(Group,1,1)="1","Winner of the tournament","Promotion candidate")</f>
        <v>Winner of the tournament</v>
      </c>
      <c r="C15" s="93"/>
      <c r="D15" s="93"/>
      <c r="E15" s="93"/>
      <c r="F15" s="93"/>
      <c r="G15" s="93"/>
      <c r="H15" s="93"/>
      <c r="I15" s="93"/>
      <c r="J15" s="93"/>
      <c r="K15" s="8"/>
      <c r="L15" s="8"/>
      <c r="M15" s="8"/>
      <c r="N15" s="8"/>
      <c r="O15" s="8"/>
    </row>
    <row r="16" spans="1:17" x14ac:dyDescent="0.35">
      <c r="A16" s="15"/>
      <c r="B16" s="97" t="s">
        <v>37</v>
      </c>
      <c r="C16" s="93"/>
      <c r="D16" s="93"/>
      <c r="E16" s="93"/>
      <c r="F16" s="93"/>
      <c r="G16" s="93"/>
      <c r="H16" s="93"/>
      <c r="I16" s="93"/>
      <c r="J16" s="93"/>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1a</v>
      </c>
      <c r="B1" s="4" t="str">
        <f>$A2</f>
        <v>API</v>
      </c>
      <c r="C1" s="4" t="str">
        <f>$A3</f>
        <v>hcc1670</v>
      </c>
      <c r="D1" s="4" t="str">
        <f>$A4</f>
        <v>JJ Rio</v>
      </c>
      <c r="E1" s="4" t="str">
        <f>$A5</f>
        <v>Mattias Roos</v>
      </c>
      <c r="F1" s="4" t="str">
        <f>$A6</f>
        <v>noundog</v>
      </c>
      <c r="G1" s="4" t="str">
        <f>$A7</f>
        <v>phinneas</v>
      </c>
      <c r="H1" s="4" t="str">
        <f>A8</f>
        <v>Rasp</v>
      </c>
      <c r="I1" s="4" t="str">
        <f>$A9</f>
        <v>Susanni</v>
      </c>
      <c r="J1" s="4" t="str">
        <f>$A10</f>
        <v>Willie Wonka</v>
      </c>
      <c r="K1" s="5" t="str">
        <f>$A11</f>
        <v>Zenswang</v>
      </c>
      <c r="M1" s="24" t="s">
        <v>36</v>
      </c>
    </row>
    <row r="2" spans="1:13" x14ac:dyDescent="0.35">
      <c r="A2" s="1" t="str">
        <f>IF(Player1="","",Player1)</f>
        <v>API</v>
      </c>
      <c r="B2" s="65"/>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"http://dailygammon.com/bg/user/8719?active=1&amp;finished=0&amp;sort_win_loss=0&amp;days_to_view=150" &gt;"1a\1a_API_8719.html"</v>
      </c>
    </row>
    <row r="3" spans="1:13" x14ac:dyDescent="0.35">
      <c r="A3" s="1" t="str">
        <f>IF(Player2="","",Player2)</f>
        <v>hcc1670</v>
      </c>
      <c r="B3" s="26"/>
      <c r="C3" s="65"/>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"http://dailygammon.com/bg/user/31655?active=1&amp;finished=0&amp;sort_win_loss=0&amp;days_to_view=150" &gt;"1a\1a_hcc1670_31655.html"</v>
      </c>
    </row>
    <row r="4" spans="1:13" x14ac:dyDescent="0.35">
      <c r="A4" s="1" t="str">
        <f>IF(Player3="","",Player3)</f>
        <v>JJ Rio</v>
      </c>
      <c r="B4" s="26"/>
      <c r="C4" s="26"/>
      <c r="D4" s="65"/>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"http://dailygammon.com/bg/user/26890?active=1&amp;finished=0&amp;sort_win_loss=0&amp;days_to_view=150" &gt;"1a\1a_JJ Rio_26890.html"</v>
      </c>
    </row>
    <row r="5" spans="1:13" x14ac:dyDescent="0.35">
      <c r="A5" s="1" t="str">
        <f>IF(Player4="","",Player4)</f>
        <v>Mattias Roos</v>
      </c>
      <c r="B5" s="26"/>
      <c r="C5" s="26"/>
      <c r="D5" s="26"/>
      <c r="E5" s="65"/>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"http://dailygammon.com/bg/user/33344?active=1&amp;finished=0&amp;sort_win_loss=0&amp;days_to_view=150" &gt;"1a\1a_Mattias Roos_33344.html"</v>
      </c>
    </row>
    <row r="6" spans="1:13" x14ac:dyDescent="0.35">
      <c r="A6" s="1" t="str">
        <f>IF(Player5="","",Player5)</f>
        <v>noundog</v>
      </c>
      <c r="B6" s="26"/>
      <c r="C6" s="26"/>
      <c r="D6" s="29"/>
      <c r="E6" s="26"/>
      <c r="F6" s="66"/>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"http://dailygammon.com/bg/user/33060?active=1&amp;finished=0&amp;sort_win_loss=0&amp;days_to_view=150" &gt;"1a\1a_noundog_33060.html"</v>
      </c>
    </row>
    <row r="7" spans="1:13" x14ac:dyDescent="0.35">
      <c r="A7" s="1" t="str">
        <f>IF(Player6="","",Player6)</f>
        <v>phinneas</v>
      </c>
      <c r="B7" s="26"/>
      <c r="C7" s="26"/>
      <c r="D7" s="26"/>
      <c r="E7" s="26"/>
      <c r="F7" s="26"/>
      <c r="G7" s="66"/>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"http://dailygammon.com/bg/user/21605?active=1&amp;finished=0&amp;sort_win_loss=0&amp;days_to_view=150" &gt;"1a\1a_phinneas_21605.html"</v>
      </c>
    </row>
    <row r="8" spans="1:13" x14ac:dyDescent="0.35">
      <c r="A8" s="1" t="str">
        <f>IF(Player7="","",Player7)</f>
        <v>Rasp</v>
      </c>
      <c r="B8" s="26"/>
      <c r="C8" s="26"/>
      <c r="D8" s="26"/>
      <c r="E8" s="26"/>
      <c r="F8" s="26"/>
      <c r="G8" s="26"/>
      <c r="H8" s="66"/>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"http://dailygammon.com/bg/user/14866?active=1&amp;finished=0&amp;sort_win_loss=0&amp;days_to_view=150" &gt;"1a\1a_Rasp_14866.html"</v>
      </c>
    </row>
    <row r="9" spans="1:13" x14ac:dyDescent="0.35">
      <c r="A9" s="1" t="str">
        <f>IF(Player8="","",Player8)</f>
        <v>Susanni</v>
      </c>
      <c r="B9" s="26"/>
      <c r="C9" s="26"/>
      <c r="D9" s="26"/>
      <c r="E9" s="26"/>
      <c r="F9" s="26"/>
      <c r="G9" s="26"/>
      <c r="H9" s="26"/>
      <c r="I9" s="66"/>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"http://dailygammon.com/bg/user/18758?active=1&amp;finished=0&amp;sort_win_loss=0&amp;days_to_view=150" &gt;"1a\1a_Susanni_18758.html"</v>
      </c>
    </row>
    <row r="10" spans="1:13" x14ac:dyDescent="0.35">
      <c r="A10" s="1" t="str">
        <f>IF(Player9="","",Player9)</f>
        <v>Willie Wonka</v>
      </c>
      <c r="B10" s="26"/>
      <c r="C10" s="26"/>
      <c r="D10" s="26"/>
      <c r="E10" s="26"/>
      <c r="F10" s="26"/>
      <c r="G10" s="26"/>
      <c r="H10" s="26"/>
      <c r="I10" s="26"/>
      <c r="J10" s="66"/>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"http://dailygammon.com/bg/user/4872?active=1&amp;finished=0&amp;sort_win_loss=0&amp;days_to_view=150" &gt;"1a\1a_Willie Wonka_4872.html"</v>
      </c>
    </row>
    <row r="11" spans="1:13" x14ac:dyDescent="0.35">
      <c r="A11" s="2" t="str">
        <f>IF(Player10="","",Player10)</f>
        <v>Zenswang</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curl --stderr stderr.log -s -S -H "Cookie: USERID=36964; PASSWORD=LQrxFeMoLxg3." "http://dailygammon.com/bg/user/38369?active=1&amp;finished=0&amp;sort_win_loss=0&amp;days_to_view=150" &gt;"1a\1a_Zenswang_38369.html"</v>
      </c>
    </row>
    <row r="21" spans="17:17" x14ac:dyDescent="0.35">
      <c r="Q21" t="s">
        <v>169</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72</v>
      </c>
      <c r="B1" t="s">
        <v>73</v>
      </c>
      <c r="C1" t="s">
        <v>69</v>
      </c>
      <c r="D1" t="s">
        <v>183</v>
      </c>
      <c r="E1" t="s">
        <v>184</v>
      </c>
      <c r="F1" t="s">
        <v>185</v>
      </c>
      <c r="G1" t="s">
        <v>186</v>
      </c>
    </row>
    <row r="2" spans="1:7" x14ac:dyDescent="0.35">
      <c r="A2" t="s">
        <v>55</v>
      </c>
      <c r="B2" t="s">
        <v>181</v>
      </c>
      <c r="C2" s="30">
        <v>5128914</v>
      </c>
      <c r="D2" t="b">
        <f>IF(EXACT(A1 &amp; B1,A2&amp;B2),TRUE,FALSE)</f>
        <v>0</v>
      </c>
      <c r="E2" t="b">
        <v>1</v>
      </c>
      <c r="F2" t="s">
        <v>187</v>
      </c>
      <c r="G2" s="21">
        <v>45768.417164351849</v>
      </c>
    </row>
    <row r="3" spans="1:7" x14ac:dyDescent="0.35">
      <c r="A3" t="s">
        <v>55</v>
      </c>
      <c r="B3" t="s">
        <v>56</v>
      </c>
      <c r="C3" s="30">
        <v>5129113</v>
      </c>
      <c r="D3" t="b">
        <f t="shared" ref="D3:D66" si="0">IF(EXACT(A2 &amp; B2,A3&amp;B3),TRUE,FALSE)</f>
        <v>0</v>
      </c>
      <c r="E3" t="b">
        <v>1</v>
      </c>
      <c r="F3" t="s">
        <v>187</v>
      </c>
      <c r="G3" s="21">
        <v>45768.417164351849</v>
      </c>
    </row>
    <row r="4" spans="1:7" x14ac:dyDescent="0.35">
      <c r="A4" t="s">
        <v>55</v>
      </c>
      <c r="B4" t="s">
        <v>166</v>
      </c>
      <c r="C4" s="30">
        <v>5129255</v>
      </c>
      <c r="D4" t="b">
        <f t="shared" si="0"/>
        <v>0</v>
      </c>
      <c r="E4" t="b">
        <v>1</v>
      </c>
      <c r="F4" t="s">
        <v>187</v>
      </c>
      <c r="G4" s="21">
        <v>45768.417164351849</v>
      </c>
    </row>
    <row r="5" spans="1:7" x14ac:dyDescent="0.35">
      <c r="A5" t="s">
        <v>55</v>
      </c>
      <c r="B5" t="s">
        <v>167</v>
      </c>
      <c r="C5" s="30">
        <v>5128877</v>
      </c>
      <c r="D5" t="b">
        <f t="shared" si="0"/>
        <v>0</v>
      </c>
      <c r="E5" t="b">
        <v>1</v>
      </c>
      <c r="F5" t="s">
        <v>187</v>
      </c>
      <c r="G5" s="21">
        <v>45767.625937500001</v>
      </c>
    </row>
    <row r="6" spans="1:7" x14ac:dyDescent="0.35">
      <c r="A6" t="s">
        <v>55</v>
      </c>
      <c r="B6" t="s">
        <v>58</v>
      </c>
      <c r="C6" s="30">
        <v>5129780</v>
      </c>
      <c r="D6" t="b">
        <f t="shared" si="0"/>
        <v>0</v>
      </c>
      <c r="E6" t="b">
        <v>1</v>
      </c>
      <c r="F6" t="s">
        <v>187</v>
      </c>
      <c r="G6" s="21">
        <v>45770.738842592589</v>
      </c>
    </row>
    <row r="7" spans="1:7" x14ac:dyDescent="0.35">
      <c r="A7" t="s">
        <v>55</v>
      </c>
      <c r="B7" t="s">
        <v>59</v>
      </c>
      <c r="C7" s="30">
        <v>5129063</v>
      </c>
      <c r="D7" t="b">
        <f t="shared" si="0"/>
        <v>0</v>
      </c>
      <c r="E7" t="b">
        <v>1</v>
      </c>
      <c r="F7" t="s">
        <v>187</v>
      </c>
      <c r="G7" s="21">
        <v>45768.417164351849</v>
      </c>
    </row>
    <row r="8" spans="1:7" x14ac:dyDescent="0.35">
      <c r="A8" t="s">
        <v>55</v>
      </c>
      <c r="B8" t="s">
        <v>182</v>
      </c>
      <c r="C8" s="30">
        <v>5128973</v>
      </c>
      <c r="D8" t="b">
        <f t="shared" si="0"/>
        <v>0</v>
      </c>
      <c r="E8" t="b">
        <v>1</v>
      </c>
      <c r="F8" t="s">
        <v>187</v>
      </c>
      <c r="G8" s="21">
        <v>45768.417164351849</v>
      </c>
    </row>
    <row r="9" spans="1:7" x14ac:dyDescent="0.35">
      <c r="A9" t="s">
        <v>55</v>
      </c>
      <c r="B9" t="s">
        <v>168</v>
      </c>
      <c r="C9" s="30">
        <v>5128981</v>
      </c>
      <c r="D9" t="b">
        <f t="shared" si="0"/>
        <v>0</v>
      </c>
      <c r="E9" t="b">
        <v>1</v>
      </c>
      <c r="F9" t="s">
        <v>187</v>
      </c>
      <c r="G9" s="21">
        <v>45768.417164351849</v>
      </c>
    </row>
    <row r="10" spans="1:7" x14ac:dyDescent="0.35">
      <c r="A10" t="s">
        <v>55</v>
      </c>
      <c r="B10" t="s">
        <v>61</v>
      </c>
      <c r="C10" s="30">
        <v>5128885</v>
      </c>
      <c r="D10" t="b">
        <f t="shared" si="0"/>
        <v>0</v>
      </c>
      <c r="E10" t="b">
        <v>1</v>
      </c>
      <c r="F10" t="s">
        <v>187</v>
      </c>
      <c r="G10" s="21">
        <v>45768.417164351849</v>
      </c>
    </row>
    <row r="11" spans="1:7" x14ac:dyDescent="0.35">
      <c r="A11" t="s">
        <v>181</v>
      </c>
      <c r="B11" t="s">
        <v>55</v>
      </c>
      <c r="C11" s="30">
        <v>5127964</v>
      </c>
      <c r="D11" t="b">
        <f t="shared" si="0"/>
        <v>0</v>
      </c>
      <c r="E11" t="b">
        <v>1</v>
      </c>
      <c r="F11" t="s">
        <v>187</v>
      </c>
      <c r="G11" s="21">
        <v>45766.535011574073</v>
      </c>
    </row>
    <row r="12" spans="1:7" x14ac:dyDescent="0.35">
      <c r="A12" t="s">
        <v>181</v>
      </c>
      <c r="B12" t="s">
        <v>56</v>
      </c>
      <c r="C12" s="30">
        <v>5128842</v>
      </c>
      <c r="D12" t="b">
        <f t="shared" si="0"/>
        <v>0</v>
      </c>
      <c r="E12" t="b">
        <v>1</v>
      </c>
      <c r="F12" t="s">
        <v>187</v>
      </c>
      <c r="G12" s="21">
        <v>45767.625937500001</v>
      </c>
    </row>
    <row r="13" spans="1:7" x14ac:dyDescent="0.35">
      <c r="A13" t="s">
        <v>181</v>
      </c>
      <c r="B13" t="s">
        <v>166</v>
      </c>
      <c r="C13" s="30">
        <v>5129250</v>
      </c>
      <c r="D13" t="b">
        <f t="shared" si="0"/>
        <v>0</v>
      </c>
      <c r="E13" t="b">
        <v>1</v>
      </c>
      <c r="F13" t="s">
        <v>187</v>
      </c>
      <c r="G13" s="21">
        <v>45768.417164351849</v>
      </c>
    </row>
    <row r="14" spans="1:7" x14ac:dyDescent="0.35">
      <c r="A14" t="s">
        <v>181</v>
      </c>
      <c r="B14" t="s">
        <v>167</v>
      </c>
      <c r="C14" s="30">
        <v>5127966</v>
      </c>
      <c r="D14" t="b">
        <f t="shared" si="0"/>
        <v>0</v>
      </c>
      <c r="E14" t="b">
        <v>1</v>
      </c>
      <c r="F14" t="s">
        <v>187</v>
      </c>
      <c r="G14" s="21">
        <v>45766.535011574073</v>
      </c>
    </row>
    <row r="15" spans="1:7" x14ac:dyDescent="0.35">
      <c r="A15" t="s">
        <v>181</v>
      </c>
      <c r="B15" t="s">
        <v>58</v>
      </c>
      <c r="C15" s="30">
        <v>5129781</v>
      </c>
      <c r="D15" t="b">
        <f t="shared" si="0"/>
        <v>0</v>
      </c>
      <c r="E15" t="b">
        <v>1</v>
      </c>
      <c r="F15" t="s">
        <v>187</v>
      </c>
      <c r="G15" s="21">
        <v>45770.738842592589</v>
      </c>
    </row>
    <row r="16" spans="1:7" x14ac:dyDescent="0.35">
      <c r="A16" t="s">
        <v>181</v>
      </c>
      <c r="B16" t="s">
        <v>59</v>
      </c>
      <c r="C16" s="30">
        <v>5127974</v>
      </c>
      <c r="D16" t="b">
        <f t="shared" si="0"/>
        <v>0</v>
      </c>
      <c r="E16" t="b">
        <v>1</v>
      </c>
      <c r="F16" t="s">
        <v>187</v>
      </c>
      <c r="G16" s="21">
        <v>45766.535011574073</v>
      </c>
    </row>
    <row r="17" spans="1:7" x14ac:dyDescent="0.35">
      <c r="A17" t="s">
        <v>181</v>
      </c>
      <c r="B17" t="s">
        <v>182</v>
      </c>
      <c r="C17" s="30">
        <v>5128155</v>
      </c>
      <c r="D17" t="b">
        <f t="shared" si="0"/>
        <v>0</v>
      </c>
      <c r="E17" t="b">
        <v>1</v>
      </c>
      <c r="F17" t="s">
        <v>187</v>
      </c>
      <c r="G17" s="21">
        <v>45767.625937500001</v>
      </c>
    </row>
    <row r="18" spans="1:7" x14ac:dyDescent="0.35">
      <c r="A18" t="s">
        <v>181</v>
      </c>
      <c r="B18" t="s">
        <v>168</v>
      </c>
      <c r="C18" s="30">
        <v>5128151</v>
      </c>
      <c r="D18" t="b">
        <f t="shared" si="0"/>
        <v>0</v>
      </c>
      <c r="E18" t="b">
        <v>1</v>
      </c>
      <c r="F18" t="s">
        <v>187</v>
      </c>
      <c r="G18" s="21">
        <v>45767.625937500001</v>
      </c>
    </row>
    <row r="19" spans="1:7" x14ac:dyDescent="0.35">
      <c r="A19" t="s">
        <v>181</v>
      </c>
      <c r="B19" t="s">
        <v>61</v>
      </c>
      <c r="C19" s="30">
        <v>5128298</v>
      </c>
      <c r="D19" t="b">
        <f t="shared" si="0"/>
        <v>0</v>
      </c>
      <c r="E19" t="b">
        <v>1</v>
      </c>
      <c r="F19" t="s">
        <v>187</v>
      </c>
      <c r="G19" s="21">
        <v>45767.625937500001</v>
      </c>
    </row>
    <row r="20" spans="1:7" x14ac:dyDescent="0.35">
      <c r="A20" t="s">
        <v>56</v>
      </c>
      <c r="B20" t="s">
        <v>55</v>
      </c>
      <c r="C20" s="30">
        <v>5129788</v>
      </c>
      <c r="D20" t="b">
        <f t="shared" si="0"/>
        <v>0</v>
      </c>
      <c r="E20" t="b">
        <v>1</v>
      </c>
      <c r="F20" t="s">
        <v>187</v>
      </c>
      <c r="G20" s="21">
        <v>45770.738842592589</v>
      </c>
    </row>
    <row r="21" spans="1:7" x14ac:dyDescent="0.35">
      <c r="A21" t="s">
        <v>56</v>
      </c>
      <c r="B21" t="s">
        <v>181</v>
      </c>
      <c r="C21" s="30">
        <v>5129729</v>
      </c>
      <c r="D21" t="b">
        <f t="shared" si="0"/>
        <v>0</v>
      </c>
      <c r="E21" t="b">
        <v>1</v>
      </c>
      <c r="F21" t="s">
        <v>187</v>
      </c>
      <c r="G21" s="21">
        <v>45770.738842592589</v>
      </c>
    </row>
    <row r="22" spans="1:7" x14ac:dyDescent="0.35">
      <c r="A22" t="s">
        <v>56</v>
      </c>
      <c r="B22" t="s">
        <v>166</v>
      </c>
      <c r="C22" s="30">
        <v>5129815</v>
      </c>
      <c r="D22" t="b">
        <f t="shared" si="0"/>
        <v>0</v>
      </c>
      <c r="E22" t="b">
        <v>1</v>
      </c>
      <c r="F22" t="s">
        <v>187</v>
      </c>
      <c r="G22" s="21">
        <v>45770.738842592589</v>
      </c>
    </row>
    <row r="23" spans="1:7" x14ac:dyDescent="0.35">
      <c r="A23" t="s">
        <v>56</v>
      </c>
      <c r="B23" t="s">
        <v>167</v>
      </c>
      <c r="C23" s="30">
        <v>5129712</v>
      </c>
      <c r="D23" t="b">
        <f t="shared" si="0"/>
        <v>0</v>
      </c>
      <c r="E23" t="b">
        <v>1</v>
      </c>
      <c r="F23" t="s">
        <v>187</v>
      </c>
      <c r="G23" s="21">
        <v>45770.738842592589</v>
      </c>
    </row>
    <row r="24" spans="1:7" x14ac:dyDescent="0.35">
      <c r="A24" t="s">
        <v>56</v>
      </c>
      <c r="B24" t="s">
        <v>58</v>
      </c>
      <c r="C24" s="30">
        <v>5129778</v>
      </c>
      <c r="D24" t="b">
        <f t="shared" si="0"/>
        <v>0</v>
      </c>
      <c r="E24" t="b">
        <v>1</v>
      </c>
      <c r="F24" t="s">
        <v>187</v>
      </c>
      <c r="G24" s="21">
        <v>45770.738842592589</v>
      </c>
    </row>
    <row r="25" spans="1:7" x14ac:dyDescent="0.35">
      <c r="A25" t="s">
        <v>56</v>
      </c>
      <c r="B25" t="s">
        <v>59</v>
      </c>
      <c r="C25" s="30">
        <v>5129693</v>
      </c>
      <c r="D25" t="b">
        <f t="shared" si="0"/>
        <v>0</v>
      </c>
      <c r="E25" t="b">
        <v>1</v>
      </c>
      <c r="F25" t="s">
        <v>187</v>
      </c>
      <c r="G25" s="21">
        <v>45770.738842592589</v>
      </c>
    </row>
    <row r="26" spans="1:7" x14ac:dyDescent="0.35">
      <c r="A26" t="s">
        <v>56</v>
      </c>
      <c r="B26" t="s">
        <v>182</v>
      </c>
      <c r="C26" s="30">
        <v>5129718</v>
      </c>
      <c r="D26" t="b">
        <f t="shared" si="0"/>
        <v>0</v>
      </c>
      <c r="E26" t="b">
        <v>1</v>
      </c>
      <c r="F26" t="s">
        <v>187</v>
      </c>
      <c r="G26" s="21">
        <v>45770.738842592589</v>
      </c>
    </row>
    <row r="27" spans="1:7" x14ac:dyDescent="0.35">
      <c r="A27" t="s">
        <v>56</v>
      </c>
      <c r="B27" t="s">
        <v>168</v>
      </c>
      <c r="C27" s="30">
        <v>5129661</v>
      </c>
      <c r="D27" t="b">
        <f t="shared" si="0"/>
        <v>0</v>
      </c>
      <c r="E27" t="b">
        <v>1</v>
      </c>
      <c r="F27" t="s">
        <v>187</v>
      </c>
      <c r="G27" s="21">
        <v>45770.738842592589</v>
      </c>
    </row>
    <row r="28" spans="1:7" x14ac:dyDescent="0.35">
      <c r="A28" t="s">
        <v>56</v>
      </c>
      <c r="B28" t="s">
        <v>61</v>
      </c>
      <c r="C28" s="30">
        <v>5129665</v>
      </c>
      <c r="D28" t="b">
        <f t="shared" si="0"/>
        <v>0</v>
      </c>
      <c r="E28" t="b">
        <v>1</v>
      </c>
      <c r="F28" t="s">
        <v>187</v>
      </c>
      <c r="G28" s="21">
        <v>45770.738842592589</v>
      </c>
    </row>
    <row r="29" spans="1:7" x14ac:dyDescent="0.35">
      <c r="A29" t="s">
        <v>166</v>
      </c>
      <c r="B29" t="s">
        <v>55</v>
      </c>
      <c r="C29" s="30">
        <v>5129278</v>
      </c>
      <c r="D29" t="b">
        <f t="shared" si="0"/>
        <v>0</v>
      </c>
      <c r="E29" t="b">
        <v>1</v>
      </c>
      <c r="F29" t="s">
        <v>187</v>
      </c>
      <c r="G29" s="21">
        <v>45770.738842592589</v>
      </c>
    </row>
    <row r="30" spans="1:7" x14ac:dyDescent="0.35">
      <c r="A30" t="s">
        <v>166</v>
      </c>
      <c r="B30" t="s">
        <v>181</v>
      </c>
      <c r="C30" s="30">
        <v>5129257</v>
      </c>
      <c r="D30" t="b">
        <f t="shared" si="0"/>
        <v>0</v>
      </c>
      <c r="E30" t="b">
        <v>1</v>
      </c>
      <c r="F30" t="s">
        <v>187</v>
      </c>
      <c r="G30" s="21">
        <v>45768.417164351849</v>
      </c>
    </row>
    <row r="31" spans="1:7" x14ac:dyDescent="0.35">
      <c r="A31" t="s">
        <v>166</v>
      </c>
      <c r="B31" t="s">
        <v>56</v>
      </c>
      <c r="C31" s="30">
        <v>5129615</v>
      </c>
      <c r="D31" t="b">
        <f t="shared" si="0"/>
        <v>0</v>
      </c>
      <c r="E31" t="b">
        <v>1</v>
      </c>
      <c r="F31" s="64" t="s">
        <v>187</v>
      </c>
      <c r="G31" s="21">
        <v>45770.738842592589</v>
      </c>
    </row>
    <row r="32" spans="1:7" x14ac:dyDescent="0.35">
      <c r="A32" t="s">
        <v>166</v>
      </c>
      <c r="B32" t="s">
        <v>56</v>
      </c>
      <c r="C32" s="30">
        <v>5129616</v>
      </c>
      <c r="D32" t="b">
        <f t="shared" si="0"/>
        <v>1</v>
      </c>
      <c r="E32" t="b">
        <v>0</v>
      </c>
      <c r="F32" s="64" t="s">
        <v>189</v>
      </c>
      <c r="G32" s="21">
        <v>45770.738842592589</v>
      </c>
    </row>
    <row r="33" spans="1:7" x14ac:dyDescent="0.35">
      <c r="A33" t="s">
        <v>166</v>
      </c>
      <c r="B33" t="s">
        <v>167</v>
      </c>
      <c r="C33" s="30">
        <v>5129261</v>
      </c>
      <c r="D33" t="b">
        <f t="shared" si="0"/>
        <v>0</v>
      </c>
      <c r="E33" t="b">
        <v>1</v>
      </c>
      <c r="F33" t="s">
        <v>187</v>
      </c>
      <c r="G33" s="21">
        <v>45768.417164351849</v>
      </c>
    </row>
    <row r="34" spans="1:7" x14ac:dyDescent="0.35">
      <c r="A34" t="s">
        <v>166</v>
      </c>
      <c r="B34" t="s">
        <v>58</v>
      </c>
      <c r="C34" s="30">
        <v>5129782</v>
      </c>
      <c r="D34" t="b">
        <f t="shared" si="0"/>
        <v>0</v>
      </c>
      <c r="E34" t="b">
        <v>1</v>
      </c>
      <c r="F34" t="s">
        <v>187</v>
      </c>
      <c r="G34" s="21">
        <v>45770.738842592589</v>
      </c>
    </row>
    <row r="35" spans="1:7" x14ac:dyDescent="0.35">
      <c r="A35" t="s">
        <v>166</v>
      </c>
      <c r="B35" t="s">
        <v>59</v>
      </c>
      <c r="C35" s="30">
        <v>5129275</v>
      </c>
      <c r="D35" t="b">
        <f t="shared" si="0"/>
        <v>0</v>
      </c>
      <c r="E35" t="b">
        <v>1</v>
      </c>
      <c r="F35" t="s">
        <v>187</v>
      </c>
      <c r="G35" s="21">
        <v>45770.738842592589</v>
      </c>
    </row>
    <row r="36" spans="1:7" x14ac:dyDescent="0.35">
      <c r="A36" t="s">
        <v>166</v>
      </c>
      <c r="B36" t="s">
        <v>182</v>
      </c>
      <c r="C36" s="30">
        <v>5129258</v>
      </c>
      <c r="D36" t="b">
        <f t="shared" si="0"/>
        <v>0</v>
      </c>
      <c r="E36" t="b">
        <v>1</v>
      </c>
      <c r="F36" t="s">
        <v>187</v>
      </c>
      <c r="G36" s="21">
        <v>45768.417164351849</v>
      </c>
    </row>
    <row r="37" spans="1:7" x14ac:dyDescent="0.35">
      <c r="A37" t="s">
        <v>166</v>
      </c>
      <c r="B37" t="s">
        <v>168</v>
      </c>
      <c r="C37" s="30">
        <v>5129260</v>
      </c>
      <c r="D37" t="b">
        <f t="shared" si="0"/>
        <v>0</v>
      </c>
      <c r="E37" t="b">
        <v>1</v>
      </c>
      <c r="F37" t="s">
        <v>187</v>
      </c>
      <c r="G37" s="21">
        <v>45768.417164351849</v>
      </c>
    </row>
    <row r="38" spans="1:7" x14ac:dyDescent="0.35">
      <c r="A38" t="s">
        <v>166</v>
      </c>
      <c r="B38" t="s">
        <v>61</v>
      </c>
      <c r="C38" s="30">
        <v>5129355</v>
      </c>
      <c r="D38" t="b">
        <f t="shared" si="0"/>
        <v>0</v>
      </c>
      <c r="E38" t="b">
        <v>1</v>
      </c>
      <c r="F38" t="s">
        <v>187</v>
      </c>
      <c r="G38" s="21">
        <v>45770.738842592589</v>
      </c>
    </row>
    <row r="39" spans="1:7" x14ac:dyDescent="0.35">
      <c r="A39" t="s">
        <v>167</v>
      </c>
      <c r="B39" t="s">
        <v>55</v>
      </c>
      <c r="C39" s="30">
        <v>5128614</v>
      </c>
      <c r="D39" t="b">
        <f t="shared" si="0"/>
        <v>0</v>
      </c>
      <c r="E39" t="b">
        <v>1</v>
      </c>
      <c r="F39" t="s">
        <v>187</v>
      </c>
      <c r="G39" s="21">
        <v>45767.625937500001</v>
      </c>
    </row>
    <row r="40" spans="1:7" x14ac:dyDescent="0.35">
      <c r="A40" t="s">
        <v>167</v>
      </c>
      <c r="B40" t="s">
        <v>181</v>
      </c>
      <c r="C40" s="30">
        <v>5128316</v>
      </c>
      <c r="D40" t="b">
        <f t="shared" si="0"/>
        <v>0</v>
      </c>
      <c r="E40" t="b">
        <v>1</v>
      </c>
      <c r="F40" t="s">
        <v>187</v>
      </c>
      <c r="G40" s="21">
        <v>45767.625937500001</v>
      </c>
    </row>
    <row r="41" spans="1:7" x14ac:dyDescent="0.35">
      <c r="A41" t="s">
        <v>167</v>
      </c>
      <c r="B41" t="s">
        <v>56</v>
      </c>
      <c r="C41" s="30">
        <v>5128844</v>
      </c>
      <c r="D41" t="b">
        <f t="shared" si="0"/>
        <v>0</v>
      </c>
      <c r="E41" t="b">
        <v>1</v>
      </c>
      <c r="F41" t="s">
        <v>187</v>
      </c>
      <c r="G41" s="21">
        <v>45767.625937500001</v>
      </c>
    </row>
    <row r="42" spans="1:7" x14ac:dyDescent="0.35">
      <c r="A42" t="s">
        <v>167</v>
      </c>
      <c r="B42" t="s">
        <v>166</v>
      </c>
      <c r="C42" s="30">
        <v>5129254</v>
      </c>
      <c r="D42" t="b">
        <f t="shared" si="0"/>
        <v>0</v>
      </c>
      <c r="E42" t="b">
        <v>1</v>
      </c>
      <c r="F42" t="s">
        <v>187</v>
      </c>
      <c r="G42" s="21">
        <v>45768.417164351849</v>
      </c>
    </row>
    <row r="43" spans="1:7" x14ac:dyDescent="0.35">
      <c r="A43" t="s">
        <v>167</v>
      </c>
      <c r="B43" t="s">
        <v>58</v>
      </c>
      <c r="C43" s="30">
        <v>5129777</v>
      </c>
      <c r="D43" t="b">
        <f t="shared" si="0"/>
        <v>0</v>
      </c>
      <c r="E43" t="b">
        <v>1</v>
      </c>
      <c r="F43" t="s">
        <v>187</v>
      </c>
      <c r="G43" s="21">
        <v>45770.738842592589</v>
      </c>
    </row>
    <row r="44" spans="1:7" x14ac:dyDescent="0.35">
      <c r="A44" t="s">
        <v>167</v>
      </c>
      <c r="B44" t="s">
        <v>59</v>
      </c>
      <c r="C44" s="30">
        <v>5128591</v>
      </c>
      <c r="D44" t="b">
        <f t="shared" si="0"/>
        <v>0</v>
      </c>
      <c r="E44" t="b">
        <v>1</v>
      </c>
      <c r="F44" t="s">
        <v>187</v>
      </c>
      <c r="G44" s="21">
        <v>45767.625937500001</v>
      </c>
    </row>
    <row r="45" spans="1:7" x14ac:dyDescent="0.35">
      <c r="A45" t="s">
        <v>167</v>
      </c>
      <c r="B45" t="s">
        <v>182</v>
      </c>
      <c r="C45" s="30">
        <v>5128707</v>
      </c>
      <c r="D45" t="b">
        <f t="shared" si="0"/>
        <v>0</v>
      </c>
      <c r="E45" t="b">
        <v>1</v>
      </c>
      <c r="F45" t="s">
        <v>187</v>
      </c>
      <c r="G45" s="21">
        <v>45767.625937500001</v>
      </c>
    </row>
    <row r="46" spans="1:7" x14ac:dyDescent="0.35">
      <c r="A46" t="s">
        <v>167</v>
      </c>
      <c r="B46" t="s">
        <v>168</v>
      </c>
      <c r="C46" s="30">
        <v>5128413</v>
      </c>
      <c r="D46" t="b">
        <f t="shared" si="0"/>
        <v>0</v>
      </c>
      <c r="E46" t="b">
        <v>1</v>
      </c>
      <c r="F46" t="s">
        <v>187</v>
      </c>
      <c r="G46" s="21">
        <v>45767.625937500001</v>
      </c>
    </row>
    <row r="47" spans="1:7" x14ac:dyDescent="0.35">
      <c r="A47" t="s">
        <v>167</v>
      </c>
      <c r="B47" t="s">
        <v>61</v>
      </c>
      <c r="C47" s="30">
        <v>5128296</v>
      </c>
      <c r="D47" t="b">
        <f t="shared" si="0"/>
        <v>0</v>
      </c>
      <c r="E47" t="b">
        <v>1</v>
      </c>
      <c r="F47" t="s">
        <v>187</v>
      </c>
      <c r="G47" s="21">
        <v>45767.625937500001</v>
      </c>
    </row>
    <row r="48" spans="1:7" x14ac:dyDescent="0.35">
      <c r="A48" t="s">
        <v>58</v>
      </c>
      <c r="B48" t="s">
        <v>55</v>
      </c>
      <c r="C48" s="30">
        <v>5129789</v>
      </c>
      <c r="D48" t="b">
        <f t="shared" si="0"/>
        <v>0</v>
      </c>
      <c r="E48" t="b">
        <v>1</v>
      </c>
      <c r="F48" t="s">
        <v>187</v>
      </c>
      <c r="G48" s="21">
        <v>45770.738842592589</v>
      </c>
    </row>
    <row r="49" spans="1:7" x14ac:dyDescent="0.35">
      <c r="A49" t="s">
        <v>58</v>
      </c>
      <c r="B49" t="s">
        <v>181</v>
      </c>
      <c r="C49" s="30">
        <v>5129783</v>
      </c>
      <c r="D49" t="b">
        <f t="shared" si="0"/>
        <v>0</v>
      </c>
      <c r="E49" t="b">
        <v>1</v>
      </c>
      <c r="F49" t="s">
        <v>187</v>
      </c>
      <c r="G49" s="21">
        <v>45770.738842592589</v>
      </c>
    </row>
    <row r="50" spans="1:7" x14ac:dyDescent="0.35">
      <c r="A50" t="s">
        <v>58</v>
      </c>
      <c r="B50" t="s">
        <v>56</v>
      </c>
      <c r="C50" s="30">
        <v>5129890</v>
      </c>
      <c r="D50" t="b">
        <f t="shared" si="0"/>
        <v>0</v>
      </c>
      <c r="E50" t="b">
        <v>1</v>
      </c>
      <c r="F50" t="s">
        <v>187</v>
      </c>
      <c r="G50" s="21">
        <v>45770.738842592589</v>
      </c>
    </row>
    <row r="51" spans="1:7" x14ac:dyDescent="0.35">
      <c r="A51" t="s">
        <v>58</v>
      </c>
      <c r="B51" t="s">
        <v>166</v>
      </c>
      <c r="C51" s="30">
        <v>5129814</v>
      </c>
      <c r="D51" t="b">
        <f t="shared" si="0"/>
        <v>0</v>
      </c>
      <c r="E51" t="b">
        <v>1</v>
      </c>
      <c r="F51" t="s">
        <v>187</v>
      </c>
      <c r="G51" s="21">
        <v>45770.738842592589</v>
      </c>
    </row>
    <row r="52" spans="1:7" x14ac:dyDescent="0.35">
      <c r="A52" t="s">
        <v>58</v>
      </c>
      <c r="B52" t="s">
        <v>167</v>
      </c>
      <c r="C52" s="30">
        <v>5129784</v>
      </c>
      <c r="D52" t="b">
        <f t="shared" si="0"/>
        <v>0</v>
      </c>
      <c r="E52" t="b">
        <v>1</v>
      </c>
      <c r="F52" t="s">
        <v>187</v>
      </c>
      <c r="G52" s="21">
        <v>45770.738842592589</v>
      </c>
    </row>
    <row r="53" spans="1:7" x14ac:dyDescent="0.35">
      <c r="A53" t="s">
        <v>58</v>
      </c>
      <c r="B53" t="s">
        <v>59</v>
      </c>
      <c r="C53" s="30">
        <v>5129818</v>
      </c>
      <c r="D53" t="b">
        <f t="shared" si="0"/>
        <v>0</v>
      </c>
      <c r="E53" t="b">
        <v>1</v>
      </c>
      <c r="F53" t="s">
        <v>187</v>
      </c>
      <c r="G53" s="21">
        <v>45770.738842592589</v>
      </c>
    </row>
    <row r="54" spans="1:7" x14ac:dyDescent="0.35">
      <c r="A54" t="s">
        <v>58</v>
      </c>
      <c r="B54" t="s">
        <v>182</v>
      </c>
      <c r="C54" s="30">
        <v>5129811</v>
      </c>
      <c r="D54" t="b">
        <f t="shared" si="0"/>
        <v>0</v>
      </c>
      <c r="E54" t="b">
        <v>1</v>
      </c>
      <c r="F54" t="s">
        <v>187</v>
      </c>
      <c r="G54" s="21">
        <v>45770.738842592589</v>
      </c>
    </row>
    <row r="55" spans="1:7" x14ac:dyDescent="0.35">
      <c r="A55" t="s">
        <v>58</v>
      </c>
      <c r="B55" t="s">
        <v>168</v>
      </c>
      <c r="C55" s="30">
        <v>5129847</v>
      </c>
      <c r="D55" t="b">
        <f t="shared" si="0"/>
        <v>0</v>
      </c>
      <c r="E55" t="b">
        <v>1</v>
      </c>
      <c r="F55" t="s">
        <v>187</v>
      </c>
      <c r="G55" s="21">
        <v>45770.738842592589</v>
      </c>
    </row>
    <row r="56" spans="1:7" x14ac:dyDescent="0.35">
      <c r="A56" t="s">
        <v>58</v>
      </c>
      <c r="B56" t="s">
        <v>61</v>
      </c>
      <c r="C56" s="30">
        <v>5129893</v>
      </c>
      <c r="D56" t="b">
        <f t="shared" si="0"/>
        <v>0</v>
      </c>
      <c r="E56" t="b">
        <v>1</v>
      </c>
      <c r="F56" t="s">
        <v>187</v>
      </c>
      <c r="G56" s="21">
        <v>45770.738842592589</v>
      </c>
    </row>
    <row r="57" spans="1:7" x14ac:dyDescent="0.35">
      <c r="A57" t="s">
        <v>59</v>
      </c>
      <c r="B57" t="s">
        <v>55</v>
      </c>
      <c r="C57" s="30">
        <v>5127880</v>
      </c>
      <c r="D57" t="b">
        <f t="shared" si="0"/>
        <v>0</v>
      </c>
      <c r="E57" t="b">
        <v>1</v>
      </c>
      <c r="F57" t="s">
        <v>187</v>
      </c>
      <c r="G57" s="21">
        <v>45766.535011574073</v>
      </c>
    </row>
    <row r="58" spans="1:7" x14ac:dyDescent="0.35">
      <c r="A58" t="s">
        <v>59</v>
      </c>
      <c r="B58" t="s">
        <v>181</v>
      </c>
      <c r="C58" s="30">
        <v>5127953</v>
      </c>
      <c r="D58" t="b">
        <f t="shared" si="0"/>
        <v>0</v>
      </c>
      <c r="E58" t="b">
        <v>1</v>
      </c>
      <c r="F58" t="s">
        <v>187</v>
      </c>
      <c r="G58" s="21">
        <v>45766.535011574073</v>
      </c>
    </row>
    <row r="59" spans="1:7" x14ac:dyDescent="0.35">
      <c r="A59" t="s">
        <v>59</v>
      </c>
      <c r="B59" t="s">
        <v>56</v>
      </c>
      <c r="C59" s="30">
        <v>5127694</v>
      </c>
      <c r="D59" t="b">
        <f t="shared" si="0"/>
        <v>0</v>
      </c>
      <c r="E59" t="b">
        <v>1</v>
      </c>
      <c r="F59" t="s">
        <v>187</v>
      </c>
      <c r="G59" s="21">
        <v>45766.535011574073</v>
      </c>
    </row>
    <row r="60" spans="1:7" x14ac:dyDescent="0.35">
      <c r="A60" t="s">
        <v>59</v>
      </c>
      <c r="B60" t="s">
        <v>166</v>
      </c>
      <c r="C60" s="30">
        <v>5129251</v>
      </c>
      <c r="D60" t="b">
        <f t="shared" si="0"/>
        <v>0</v>
      </c>
      <c r="E60" t="b">
        <v>1</v>
      </c>
      <c r="F60" t="s">
        <v>187</v>
      </c>
      <c r="G60" s="21">
        <v>45768.417164351849</v>
      </c>
    </row>
    <row r="61" spans="1:7" x14ac:dyDescent="0.35">
      <c r="A61" t="s">
        <v>59</v>
      </c>
      <c r="B61" t="s">
        <v>167</v>
      </c>
      <c r="C61" s="30">
        <v>5127638</v>
      </c>
      <c r="D61" t="b">
        <f t="shared" si="0"/>
        <v>0</v>
      </c>
      <c r="E61" t="b">
        <v>1</v>
      </c>
      <c r="F61" t="s">
        <v>187</v>
      </c>
      <c r="G61" s="21">
        <v>45766.535011574073</v>
      </c>
    </row>
    <row r="62" spans="1:7" x14ac:dyDescent="0.35">
      <c r="A62" t="s">
        <v>59</v>
      </c>
      <c r="B62" t="s">
        <v>58</v>
      </c>
      <c r="C62" s="30">
        <v>5129779</v>
      </c>
      <c r="D62" t="b">
        <f t="shared" si="0"/>
        <v>0</v>
      </c>
      <c r="E62" t="b">
        <v>1</v>
      </c>
      <c r="F62" t="s">
        <v>187</v>
      </c>
      <c r="G62" s="21">
        <v>45770.738842592589</v>
      </c>
    </row>
    <row r="63" spans="1:7" x14ac:dyDescent="0.35">
      <c r="A63" t="s">
        <v>59</v>
      </c>
      <c r="B63" t="s">
        <v>182</v>
      </c>
      <c r="C63" s="30">
        <v>5127729</v>
      </c>
      <c r="D63" t="b">
        <f t="shared" si="0"/>
        <v>0</v>
      </c>
      <c r="E63" t="b">
        <v>1</v>
      </c>
      <c r="F63" t="s">
        <v>187</v>
      </c>
      <c r="G63" s="21">
        <v>45766.535011574073</v>
      </c>
    </row>
    <row r="64" spans="1:7" x14ac:dyDescent="0.35">
      <c r="A64" t="s">
        <v>59</v>
      </c>
      <c r="B64" t="s">
        <v>168</v>
      </c>
      <c r="C64" s="30">
        <v>5127739</v>
      </c>
      <c r="D64" t="b">
        <f t="shared" si="0"/>
        <v>0</v>
      </c>
      <c r="E64" t="b">
        <v>1</v>
      </c>
      <c r="F64" t="s">
        <v>187</v>
      </c>
      <c r="G64" s="21">
        <v>45766.535011574073</v>
      </c>
    </row>
    <row r="65" spans="1:7" x14ac:dyDescent="0.35">
      <c r="A65" t="s">
        <v>59</v>
      </c>
      <c r="B65" t="s">
        <v>61</v>
      </c>
      <c r="C65" s="30">
        <v>5127642</v>
      </c>
      <c r="D65" t="b">
        <f t="shared" si="0"/>
        <v>0</v>
      </c>
      <c r="E65" t="b">
        <v>1</v>
      </c>
      <c r="F65" t="s">
        <v>187</v>
      </c>
      <c r="G65" s="21">
        <v>45766.535011574073</v>
      </c>
    </row>
    <row r="66" spans="1:7" x14ac:dyDescent="0.35">
      <c r="A66" t="s">
        <v>182</v>
      </c>
      <c r="B66" t="s">
        <v>55</v>
      </c>
      <c r="C66" s="30">
        <v>5127882</v>
      </c>
      <c r="D66" t="b">
        <f t="shared" si="0"/>
        <v>0</v>
      </c>
      <c r="E66" t="b">
        <v>1</v>
      </c>
      <c r="F66" t="s">
        <v>187</v>
      </c>
      <c r="G66" s="21">
        <v>45766.535011574073</v>
      </c>
    </row>
    <row r="67" spans="1:7" x14ac:dyDescent="0.35">
      <c r="A67" t="s">
        <v>182</v>
      </c>
      <c r="B67" t="s">
        <v>181</v>
      </c>
      <c r="C67" s="30">
        <v>5127951</v>
      </c>
      <c r="D67" t="b">
        <f t="shared" ref="D67:D94" si="1">IF(EXACT(A66 &amp; B66,A67&amp;B67),TRUE,FALSE)</f>
        <v>0</v>
      </c>
      <c r="E67" t="b">
        <v>1</v>
      </c>
      <c r="F67" t="s">
        <v>187</v>
      </c>
      <c r="G67" s="21">
        <v>45766.535011574073</v>
      </c>
    </row>
    <row r="68" spans="1:7" x14ac:dyDescent="0.35">
      <c r="A68" t="s">
        <v>182</v>
      </c>
      <c r="B68" t="s">
        <v>56</v>
      </c>
      <c r="C68" s="30">
        <v>5128840</v>
      </c>
      <c r="D68" t="b">
        <f t="shared" si="1"/>
        <v>0</v>
      </c>
      <c r="E68" t="b">
        <v>1</v>
      </c>
      <c r="F68" t="s">
        <v>187</v>
      </c>
      <c r="G68" s="21">
        <v>45767.625937500001</v>
      </c>
    </row>
    <row r="69" spans="1:7" x14ac:dyDescent="0.35">
      <c r="A69" t="s">
        <v>182</v>
      </c>
      <c r="B69" t="s">
        <v>166</v>
      </c>
      <c r="C69" s="30">
        <v>5129249</v>
      </c>
      <c r="D69" t="b">
        <f t="shared" si="1"/>
        <v>0</v>
      </c>
      <c r="E69" t="b">
        <v>1</v>
      </c>
      <c r="F69" t="s">
        <v>187</v>
      </c>
      <c r="G69" s="21">
        <v>45768.417164351849</v>
      </c>
    </row>
    <row r="70" spans="1:7" x14ac:dyDescent="0.35">
      <c r="A70" t="s">
        <v>182</v>
      </c>
      <c r="B70" t="s">
        <v>167</v>
      </c>
      <c r="C70" s="30">
        <v>5127847</v>
      </c>
      <c r="D70" t="b">
        <f t="shared" si="1"/>
        <v>0</v>
      </c>
      <c r="E70" t="b">
        <v>1</v>
      </c>
      <c r="F70" t="s">
        <v>187</v>
      </c>
      <c r="G70" s="21">
        <v>45766.535011574073</v>
      </c>
    </row>
    <row r="71" spans="1:7" x14ac:dyDescent="0.35">
      <c r="A71" t="s">
        <v>182</v>
      </c>
      <c r="B71" t="s">
        <v>59</v>
      </c>
      <c r="C71" s="30">
        <v>5127824</v>
      </c>
      <c r="D71" t="b">
        <f t="shared" si="1"/>
        <v>0</v>
      </c>
      <c r="E71" t="b">
        <v>1</v>
      </c>
      <c r="F71" t="s">
        <v>187</v>
      </c>
      <c r="G71" s="21">
        <v>45766.535011574073</v>
      </c>
    </row>
    <row r="72" spans="1:7" x14ac:dyDescent="0.35">
      <c r="A72" t="s">
        <v>182</v>
      </c>
      <c r="B72" t="s">
        <v>168</v>
      </c>
      <c r="C72" s="30">
        <v>5127836</v>
      </c>
      <c r="D72" t="b">
        <f t="shared" si="1"/>
        <v>0</v>
      </c>
      <c r="E72" t="b">
        <v>1</v>
      </c>
      <c r="F72" t="s">
        <v>187</v>
      </c>
      <c r="G72" s="21">
        <v>45766.535011574073</v>
      </c>
    </row>
    <row r="73" spans="1:7" x14ac:dyDescent="0.35">
      <c r="A73" t="s">
        <v>182</v>
      </c>
      <c r="B73" t="s">
        <v>61</v>
      </c>
      <c r="C73" s="30">
        <v>5128299</v>
      </c>
      <c r="D73" t="b">
        <f t="shared" si="1"/>
        <v>0</v>
      </c>
      <c r="E73" t="b">
        <v>1</v>
      </c>
      <c r="F73" t="s">
        <v>187</v>
      </c>
      <c r="G73" s="21">
        <v>45767.625937500001</v>
      </c>
    </row>
    <row r="74" spans="1:7" x14ac:dyDescent="0.35">
      <c r="A74" t="s">
        <v>168</v>
      </c>
      <c r="B74" t="s">
        <v>55</v>
      </c>
      <c r="C74" s="30">
        <v>5127879</v>
      </c>
      <c r="D74" t="b">
        <f t="shared" si="1"/>
        <v>0</v>
      </c>
      <c r="E74" t="b">
        <v>1</v>
      </c>
      <c r="F74" t="s">
        <v>187</v>
      </c>
      <c r="G74" s="21">
        <v>45766.535011574073</v>
      </c>
    </row>
    <row r="75" spans="1:7" x14ac:dyDescent="0.35">
      <c r="A75" t="s">
        <v>168</v>
      </c>
      <c r="B75" t="s">
        <v>181</v>
      </c>
      <c r="C75" s="30">
        <v>5127952</v>
      </c>
      <c r="D75" t="b">
        <f t="shared" si="1"/>
        <v>0</v>
      </c>
      <c r="E75" t="b">
        <v>1</v>
      </c>
      <c r="F75" t="s">
        <v>187</v>
      </c>
      <c r="G75" s="21">
        <v>45766.535011574073</v>
      </c>
    </row>
    <row r="76" spans="1:7" x14ac:dyDescent="0.35">
      <c r="A76" t="s">
        <v>168</v>
      </c>
      <c r="B76" t="s">
        <v>56</v>
      </c>
      <c r="C76" s="30">
        <v>5128843</v>
      </c>
      <c r="D76" t="b">
        <f t="shared" si="1"/>
        <v>0</v>
      </c>
      <c r="E76" t="b">
        <v>1</v>
      </c>
      <c r="F76" t="s">
        <v>187</v>
      </c>
      <c r="G76" s="21">
        <v>45767.625937500001</v>
      </c>
    </row>
    <row r="77" spans="1:7" x14ac:dyDescent="0.35">
      <c r="A77" t="s">
        <v>168</v>
      </c>
      <c r="B77" t="s">
        <v>166</v>
      </c>
      <c r="C77" s="30">
        <v>5129252</v>
      </c>
      <c r="D77" t="b">
        <f t="shared" si="1"/>
        <v>0</v>
      </c>
      <c r="E77" t="b">
        <v>1</v>
      </c>
      <c r="F77" t="s">
        <v>187</v>
      </c>
      <c r="G77" s="21">
        <v>45768.417164351849</v>
      </c>
    </row>
    <row r="78" spans="1:7" x14ac:dyDescent="0.35">
      <c r="A78" t="s">
        <v>168</v>
      </c>
      <c r="B78" t="s">
        <v>167</v>
      </c>
      <c r="C78" s="30">
        <v>5127848</v>
      </c>
      <c r="D78" t="b">
        <f t="shared" si="1"/>
        <v>0</v>
      </c>
      <c r="E78" t="b">
        <v>1</v>
      </c>
      <c r="F78" t="s">
        <v>187</v>
      </c>
      <c r="G78" s="21">
        <v>45766.535011574073</v>
      </c>
    </row>
    <row r="79" spans="1:7" x14ac:dyDescent="0.35">
      <c r="A79" t="s">
        <v>168</v>
      </c>
      <c r="B79" t="s">
        <v>59</v>
      </c>
      <c r="C79" s="30">
        <v>5127778</v>
      </c>
      <c r="D79" t="b">
        <f t="shared" si="1"/>
        <v>0</v>
      </c>
      <c r="E79" t="b">
        <v>1</v>
      </c>
      <c r="F79" t="s">
        <v>187</v>
      </c>
      <c r="G79" s="21">
        <v>45766.535011574073</v>
      </c>
    </row>
    <row r="80" spans="1:7" x14ac:dyDescent="0.35">
      <c r="A80" t="s">
        <v>168</v>
      </c>
      <c r="B80" t="s">
        <v>182</v>
      </c>
      <c r="C80" s="30">
        <v>5127781</v>
      </c>
      <c r="D80" t="b">
        <f t="shared" si="1"/>
        <v>0</v>
      </c>
      <c r="E80" t="b">
        <v>1</v>
      </c>
      <c r="F80" t="s">
        <v>187</v>
      </c>
      <c r="G80" s="21">
        <v>45766.535011574073</v>
      </c>
    </row>
    <row r="81" spans="1:7" x14ac:dyDescent="0.35">
      <c r="A81" t="s">
        <v>168</v>
      </c>
      <c r="B81" t="s">
        <v>61</v>
      </c>
      <c r="C81" s="30">
        <v>5128297</v>
      </c>
      <c r="D81" t="b">
        <f t="shared" si="1"/>
        <v>0</v>
      </c>
      <c r="E81" t="b">
        <v>1</v>
      </c>
      <c r="F81" t="s">
        <v>187</v>
      </c>
      <c r="G81" s="21">
        <v>45767.625937500001</v>
      </c>
    </row>
    <row r="82" spans="1:7" x14ac:dyDescent="0.35">
      <c r="A82" t="s">
        <v>61</v>
      </c>
      <c r="B82" t="s">
        <v>55</v>
      </c>
      <c r="C82" s="30">
        <v>5127881</v>
      </c>
      <c r="D82" t="b">
        <f t="shared" si="1"/>
        <v>0</v>
      </c>
      <c r="E82" t="b">
        <v>1</v>
      </c>
      <c r="F82" t="s">
        <v>187</v>
      </c>
      <c r="G82" s="21">
        <v>45766.535011574073</v>
      </c>
    </row>
    <row r="83" spans="1:7" x14ac:dyDescent="0.35">
      <c r="A83" t="s">
        <v>61</v>
      </c>
      <c r="B83" t="s">
        <v>181</v>
      </c>
      <c r="C83" s="30">
        <v>5127954</v>
      </c>
      <c r="D83" t="b">
        <f t="shared" si="1"/>
        <v>0</v>
      </c>
      <c r="E83" t="b">
        <v>1</v>
      </c>
      <c r="F83" s="64" t="s">
        <v>189</v>
      </c>
      <c r="G83" s="21">
        <v>45766.535011574073</v>
      </c>
    </row>
    <row r="84" spans="1:7" x14ac:dyDescent="0.35">
      <c r="A84" t="s">
        <v>61</v>
      </c>
      <c r="B84" t="s">
        <v>181</v>
      </c>
      <c r="C84" s="30">
        <v>5127955</v>
      </c>
      <c r="D84" t="b">
        <f t="shared" si="1"/>
        <v>1</v>
      </c>
      <c r="E84" t="b">
        <v>1</v>
      </c>
      <c r="F84" s="64" t="s">
        <v>187</v>
      </c>
      <c r="G84" s="21">
        <v>45766.535011574073</v>
      </c>
    </row>
    <row r="85" spans="1:7" x14ac:dyDescent="0.35">
      <c r="A85" t="s">
        <v>61</v>
      </c>
      <c r="B85" t="s">
        <v>56</v>
      </c>
      <c r="C85" s="30">
        <v>5127695</v>
      </c>
      <c r="D85" t="b">
        <f t="shared" si="1"/>
        <v>0</v>
      </c>
      <c r="E85" t="b">
        <v>1</v>
      </c>
      <c r="F85" s="64" t="s">
        <v>187</v>
      </c>
      <c r="G85" s="21">
        <v>45766.535011574073</v>
      </c>
    </row>
    <row r="86" spans="1:7" x14ac:dyDescent="0.35">
      <c r="A86" t="s">
        <v>61</v>
      </c>
      <c r="B86" t="s">
        <v>56</v>
      </c>
      <c r="C86" s="30">
        <v>5127696</v>
      </c>
      <c r="D86" t="b">
        <f t="shared" si="1"/>
        <v>1</v>
      </c>
      <c r="E86" t="b">
        <v>1</v>
      </c>
      <c r="F86" s="64" t="s">
        <v>189</v>
      </c>
      <c r="G86" s="21">
        <v>45766.535011574073</v>
      </c>
    </row>
    <row r="87" spans="1:7" x14ac:dyDescent="0.35">
      <c r="A87" t="s">
        <v>61</v>
      </c>
      <c r="B87" t="s">
        <v>166</v>
      </c>
      <c r="C87" s="30">
        <v>5129253</v>
      </c>
      <c r="D87" t="b">
        <f t="shared" si="1"/>
        <v>0</v>
      </c>
      <c r="E87" t="b">
        <v>1</v>
      </c>
      <c r="F87" t="s">
        <v>187</v>
      </c>
      <c r="G87" s="21">
        <v>45768.417164351849</v>
      </c>
    </row>
    <row r="88" spans="1:7" x14ac:dyDescent="0.35">
      <c r="A88" t="s">
        <v>61</v>
      </c>
      <c r="B88" t="s">
        <v>167</v>
      </c>
      <c r="C88" s="30">
        <v>5127626</v>
      </c>
      <c r="D88" t="b">
        <f t="shared" si="1"/>
        <v>0</v>
      </c>
      <c r="E88" t="b">
        <v>1</v>
      </c>
      <c r="F88" t="s">
        <v>187</v>
      </c>
      <c r="G88" s="21">
        <v>45766.057106481479</v>
      </c>
    </row>
    <row r="89" spans="1:7" x14ac:dyDescent="0.35">
      <c r="A89" t="s">
        <v>61</v>
      </c>
      <c r="B89" t="s">
        <v>59</v>
      </c>
      <c r="C89" s="30">
        <v>5127635</v>
      </c>
      <c r="D89" t="b">
        <f t="shared" si="1"/>
        <v>0</v>
      </c>
      <c r="E89" t="b">
        <v>1</v>
      </c>
      <c r="F89" t="s">
        <v>187</v>
      </c>
      <c r="G89" s="21">
        <v>45766.057106481479</v>
      </c>
    </row>
    <row r="90" spans="1:7" x14ac:dyDescent="0.35">
      <c r="A90" t="s">
        <v>61</v>
      </c>
      <c r="B90" t="s">
        <v>182</v>
      </c>
      <c r="C90" s="30">
        <v>5127730</v>
      </c>
      <c r="D90" t="b">
        <f t="shared" si="1"/>
        <v>0</v>
      </c>
      <c r="E90" t="b">
        <v>1</v>
      </c>
      <c r="F90" t="s">
        <v>187</v>
      </c>
      <c r="G90" s="21">
        <v>45766.535011574073</v>
      </c>
    </row>
    <row r="91" spans="1:7" x14ac:dyDescent="0.35">
      <c r="A91" t="s">
        <v>61</v>
      </c>
      <c r="B91" t="s">
        <v>168</v>
      </c>
      <c r="C91" s="30">
        <v>5127740</v>
      </c>
      <c r="D91" t="b">
        <f t="shared" si="1"/>
        <v>0</v>
      </c>
      <c r="E91" t="b">
        <v>1</v>
      </c>
      <c r="F91" t="s">
        <v>187</v>
      </c>
      <c r="G91" s="21">
        <v>45766.535011574073</v>
      </c>
    </row>
    <row r="92" spans="1:7" x14ac:dyDescent="0.35">
      <c r="A92" t="s">
        <v>182</v>
      </c>
      <c r="B92" t="s">
        <v>58</v>
      </c>
      <c r="C92" s="30">
        <v>5129776</v>
      </c>
      <c r="D92" t="b">
        <f t="shared" si="1"/>
        <v>0</v>
      </c>
      <c r="E92" t="b">
        <v>1</v>
      </c>
      <c r="F92" t="s">
        <v>187</v>
      </c>
      <c r="G92" s="21">
        <v>45770.738842592589</v>
      </c>
    </row>
    <row r="93" spans="1:7" x14ac:dyDescent="0.35">
      <c r="A93" t="s">
        <v>168</v>
      </c>
      <c r="B93" t="s">
        <v>58</v>
      </c>
      <c r="C93" s="30">
        <v>5129774</v>
      </c>
      <c r="D93" t="b">
        <f t="shared" si="1"/>
        <v>0</v>
      </c>
      <c r="E93" t="b">
        <v>1</v>
      </c>
      <c r="F93" t="s">
        <v>187</v>
      </c>
      <c r="G93" s="21">
        <v>45770.738842592589</v>
      </c>
    </row>
    <row r="94" spans="1:7" x14ac:dyDescent="0.35">
      <c r="A94" t="s">
        <v>61</v>
      </c>
      <c r="B94" t="s">
        <v>58</v>
      </c>
      <c r="C94" s="30">
        <v>5129775</v>
      </c>
      <c r="D94" t="b">
        <f t="shared" si="1"/>
        <v>0</v>
      </c>
      <c r="E94" t="b">
        <v>1</v>
      </c>
      <c r="F94" t="s">
        <v>187</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10</v>
      </c>
      <c r="C2">
        <f>(B2-1)*2</f>
        <v>18</v>
      </c>
      <c r="D2">
        <f>NoOfPlayers*(NoOfPlayers-1)</f>
        <v>90</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62</v>
      </c>
      <c r="B1" t="s">
        <v>63</v>
      </c>
      <c r="C1" t="s">
        <v>64</v>
      </c>
      <c r="D1" t="s">
        <v>65</v>
      </c>
      <c r="E1" t="s">
        <v>66</v>
      </c>
      <c r="F1" t="s">
        <v>67</v>
      </c>
      <c r="G1" t="s">
        <v>68</v>
      </c>
      <c r="H1" t="s">
        <v>69</v>
      </c>
      <c r="I1" t="s">
        <v>70</v>
      </c>
      <c r="J1" t="s">
        <v>71</v>
      </c>
      <c r="K1" t="s">
        <v>72</v>
      </c>
      <c r="L1" t="s">
        <v>73</v>
      </c>
      <c r="M1" t="s">
        <v>74</v>
      </c>
      <c r="N1" t="s">
        <v>75</v>
      </c>
    </row>
    <row r="2" spans="1:14" ht="29" hidden="1" x14ac:dyDescent="0.35">
      <c r="A2" s="51" t="s">
        <v>87</v>
      </c>
      <c r="B2" s="52" t="s">
        <v>114</v>
      </c>
      <c r="C2" s="53">
        <v>0.90902777777777777</v>
      </c>
      <c r="D2" s="54">
        <v>10.5</v>
      </c>
      <c r="E2" s="55" t="s">
        <v>1</v>
      </c>
      <c r="F2" s="55">
        <v>11</v>
      </c>
      <c r="G2" s="56" t="s">
        <v>55</v>
      </c>
      <c r="H2" s="57" t="s">
        <v>77</v>
      </c>
      <c r="I2" s="31" t="s">
        <v>54</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90</v>
      </c>
      <c r="B3" s="52" t="s">
        <v>114</v>
      </c>
      <c r="C3" s="53">
        <v>0.68125000000000002</v>
      </c>
      <c r="D3" s="54">
        <v>10.541666666666666</v>
      </c>
      <c r="E3" s="55" t="s">
        <v>1</v>
      </c>
      <c r="F3" s="55">
        <v>11</v>
      </c>
      <c r="G3" s="56" t="s">
        <v>56</v>
      </c>
      <c r="H3" s="57" t="s">
        <v>77</v>
      </c>
      <c r="I3" s="31" t="s">
        <v>54</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110</v>
      </c>
      <c r="B4" s="52" t="s">
        <v>114</v>
      </c>
      <c r="C4" s="53">
        <v>0.8979166666666667</v>
      </c>
      <c r="D4" s="54">
        <v>10.541666666666666</v>
      </c>
      <c r="E4" s="55" t="s">
        <v>1</v>
      </c>
      <c r="F4" s="55">
        <v>11</v>
      </c>
      <c r="G4" s="56" t="s">
        <v>57</v>
      </c>
      <c r="H4" s="57" t="s">
        <v>77</v>
      </c>
      <c r="I4" s="31" t="s">
        <v>54</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82</v>
      </c>
      <c r="B5" s="52" t="s">
        <v>114</v>
      </c>
      <c r="C5" s="53">
        <v>0.73125000000000007</v>
      </c>
      <c r="D5" s="54">
        <v>10.625</v>
      </c>
      <c r="E5" s="55" t="s">
        <v>1</v>
      </c>
      <c r="F5" s="55">
        <v>11</v>
      </c>
      <c r="G5" s="56" t="s">
        <v>58</v>
      </c>
      <c r="H5" s="57" t="s">
        <v>77</v>
      </c>
      <c r="I5" s="31" t="s">
        <v>54</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112</v>
      </c>
      <c r="B6" s="52" t="s">
        <v>114</v>
      </c>
      <c r="C6" s="53">
        <v>0.83958333333333324</v>
      </c>
      <c r="D6" s="54">
        <v>10.541666666666666</v>
      </c>
      <c r="E6" s="55" t="s">
        <v>1</v>
      </c>
      <c r="F6" s="55">
        <v>11</v>
      </c>
      <c r="G6" s="56" t="s">
        <v>59</v>
      </c>
      <c r="H6" s="57" t="s">
        <v>77</v>
      </c>
      <c r="I6" s="31" t="s">
        <v>54</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101</v>
      </c>
      <c r="B7" s="52" t="s">
        <v>114</v>
      </c>
      <c r="C7" s="53">
        <v>0.95208333333333339</v>
      </c>
      <c r="D7" s="54">
        <v>10.541666666666666</v>
      </c>
      <c r="E7" s="55" t="s">
        <v>1</v>
      </c>
      <c r="F7" s="55">
        <v>11</v>
      </c>
      <c r="G7" s="56" t="s">
        <v>116</v>
      </c>
      <c r="H7" s="57" t="s">
        <v>77</v>
      </c>
      <c r="I7" s="31" t="s">
        <v>54</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92</v>
      </c>
      <c r="B8" s="52" t="s">
        <v>114</v>
      </c>
      <c r="C8" s="53">
        <v>0.68888888888888899</v>
      </c>
      <c r="D8" s="54">
        <v>10.583333333333334</v>
      </c>
      <c r="E8" s="55" t="s">
        <v>1</v>
      </c>
      <c r="F8" s="55">
        <v>11</v>
      </c>
      <c r="G8" s="56" t="s">
        <v>60</v>
      </c>
      <c r="H8" s="57" t="s">
        <v>77</v>
      </c>
      <c r="I8" s="31" t="s">
        <v>54</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89</v>
      </c>
      <c r="B9" s="52" t="s">
        <v>114</v>
      </c>
      <c r="C9" s="53">
        <v>0.86249999999999993</v>
      </c>
      <c r="D9" s="54">
        <v>10.625</v>
      </c>
      <c r="E9" s="55" t="s">
        <v>1</v>
      </c>
      <c r="F9" s="55">
        <v>11</v>
      </c>
      <c r="G9" s="56" t="s">
        <v>115</v>
      </c>
      <c r="H9" s="57" t="s">
        <v>77</v>
      </c>
      <c r="I9" s="31" t="s">
        <v>54</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88</v>
      </c>
      <c r="B10" s="52" t="s">
        <v>114</v>
      </c>
      <c r="C10" s="53">
        <v>0.95000000000000007</v>
      </c>
      <c r="D10" s="54">
        <v>10.5</v>
      </c>
      <c r="E10" s="55" t="s">
        <v>1</v>
      </c>
      <c r="F10" s="55">
        <v>11</v>
      </c>
      <c r="G10" s="56" t="s">
        <v>61</v>
      </c>
      <c r="H10" s="57" t="s">
        <v>77</v>
      </c>
      <c r="I10" s="31" t="s">
        <v>54</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91</v>
      </c>
      <c r="B11" s="52" t="s">
        <v>114</v>
      </c>
      <c r="C11" s="55" t="s">
        <v>84</v>
      </c>
      <c r="D11" s="54">
        <v>10.541666666666666</v>
      </c>
      <c r="E11" s="55" t="s">
        <v>1</v>
      </c>
      <c r="F11" s="55">
        <v>11</v>
      </c>
      <c r="G11" s="56" t="s">
        <v>54</v>
      </c>
      <c r="H11" s="57" t="s">
        <v>77</v>
      </c>
      <c r="I11" s="56" t="s">
        <v>55</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90</v>
      </c>
      <c r="B12" s="52" t="s">
        <v>114</v>
      </c>
      <c r="C12" s="55" t="s">
        <v>84</v>
      </c>
      <c r="D12" s="54">
        <v>10.541666666666666</v>
      </c>
      <c r="E12" s="55" t="s">
        <v>1</v>
      </c>
      <c r="F12" s="55">
        <v>11</v>
      </c>
      <c r="G12" s="56" t="s">
        <v>56</v>
      </c>
      <c r="H12" s="57" t="s">
        <v>77</v>
      </c>
      <c r="I12" s="56" t="s">
        <v>55</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87</v>
      </c>
      <c r="B13" s="52" t="s">
        <v>114</v>
      </c>
      <c r="C13" s="53">
        <v>0.90347222222222223</v>
      </c>
      <c r="D13" s="54">
        <v>10.625</v>
      </c>
      <c r="E13" s="55" t="s">
        <v>1</v>
      </c>
      <c r="F13" s="55">
        <v>11</v>
      </c>
      <c r="G13" s="56" t="s">
        <v>57</v>
      </c>
      <c r="H13" s="57" t="s">
        <v>77</v>
      </c>
      <c r="I13" s="56" t="s">
        <v>55</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101</v>
      </c>
      <c r="B14" s="52" t="s">
        <v>114</v>
      </c>
      <c r="C14" s="53">
        <v>0.92638888888888893</v>
      </c>
      <c r="D14" s="54">
        <v>10.75</v>
      </c>
      <c r="E14" s="55" t="s">
        <v>1</v>
      </c>
      <c r="F14" s="55">
        <v>11</v>
      </c>
      <c r="G14" s="56" t="s">
        <v>58</v>
      </c>
      <c r="H14" s="57" t="s">
        <v>77</v>
      </c>
      <c r="I14" s="56" t="s">
        <v>55</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110</v>
      </c>
      <c r="B15" s="52" t="s">
        <v>114</v>
      </c>
      <c r="C15" s="55" t="s">
        <v>84</v>
      </c>
      <c r="D15" s="54">
        <v>10.666666666666666</v>
      </c>
      <c r="E15" s="55" t="s">
        <v>1</v>
      </c>
      <c r="F15" s="55">
        <v>11</v>
      </c>
      <c r="G15" s="56" t="s">
        <v>59</v>
      </c>
      <c r="H15" s="57" t="s">
        <v>77</v>
      </c>
      <c r="I15" s="56" t="s">
        <v>55</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88</v>
      </c>
      <c r="B16" s="52" t="s">
        <v>114</v>
      </c>
      <c r="C16" s="53">
        <v>0.9506944444444444</v>
      </c>
      <c r="D16" s="54">
        <v>10.541666666666666</v>
      </c>
      <c r="E16" s="55" t="s">
        <v>1</v>
      </c>
      <c r="F16" s="55">
        <v>11</v>
      </c>
      <c r="G16" s="56" t="s">
        <v>116</v>
      </c>
      <c r="H16" s="57" t="s">
        <v>77</v>
      </c>
      <c r="I16" s="56" t="s">
        <v>55</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89</v>
      </c>
      <c r="B17" s="52" t="s">
        <v>114</v>
      </c>
      <c r="C17" s="55" t="s">
        <v>84</v>
      </c>
      <c r="D17" s="54">
        <v>10.583333333333334</v>
      </c>
      <c r="E17" s="55" t="s">
        <v>1</v>
      </c>
      <c r="F17" s="55">
        <v>11</v>
      </c>
      <c r="G17" s="56" t="s">
        <v>60</v>
      </c>
      <c r="H17" s="57" t="s">
        <v>77</v>
      </c>
      <c r="I17" s="56" t="s">
        <v>55</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109</v>
      </c>
      <c r="B18" s="52" t="s">
        <v>114</v>
      </c>
      <c r="C18" s="53">
        <v>0.92152777777777783</v>
      </c>
      <c r="D18" s="54">
        <v>10.5</v>
      </c>
      <c r="E18" s="55" t="s">
        <v>1</v>
      </c>
      <c r="F18" s="55">
        <v>11</v>
      </c>
      <c r="G18" s="56" t="s">
        <v>115</v>
      </c>
      <c r="H18" s="57" t="s">
        <v>77</v>
      </c>
      <c r="I18" s="56" t="s">
        <v>55</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92</v>
      </c>
      <c r="B19" s="52" t="s">
        <v>114</v>
      </c>
      <c r="C19" s="55" t="s">
        <v>84</v>
      </c>
      <c r="D19" s="54">
        <v>10.541666666666666</v>
      </c>
      <c r="E19" s="55" t="s">
        <v>1</v>
      </c>
      <c r="F19" s="55">
        <v>11</v>
      </c>
      <c r="G19" s="56" t="s">
        <v>61</v>
      </c>
      <c r="H19" s="57" t="s">
        <v>77</v>
      </c>
      <c r="I19" s="56" t="s">
        <v>55</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146</v>
      </c>
      <c r="B20" s="52" t="s">
        <v>114</v>
      </c>
      <c r="C20" s="55" t="s">
        <v>84</v>
      </c>
      <c r="D20" s="54">
        <v>10.541666666666666</v>
      </c>
      <c r="E20" s="55" t="s">
        <v>1</v>
      </c>
      <c r="F20" s="55">
        <v>11</v>
      </c>
      <c r="G20" s="56" t="s">
        <v>54</v>
      </c>
      <c r="H20" s="57" t="s">
        <v>77</v>
      </c>
      <c r="I20" s="56" t="s">
        <v>56</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147</v>
      </c>
      <c r="B21" s="52" t="s">
        <v>114</v>
      </c>
      <c r="C21" s="53">
        <v>0.89027777777777783</v>
      </c>
      <c r="D21" s="54">
        <v>10.5</v>
      </c>
      <c r="E21" s="55" t="s">
        <v>1</v>
      </c>
      <c r="F21" s="55">
        <v>11</v>
      </c>
      <c r="G21" s="56" t="s">
        <v>55</v>
      </c>
      <c r="H21" s="57" t="s">
        <v>77</v>
      </c>
      <c r="I21" s="56" t="s">
        <v>56</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142</v>
      </c>
      <c r="B22" s="52" t="s">
        <v>114</v>
      </c>
      <c r="C22" s="53">
        <v>0.89583333333333337</v>
      </c>
      <c r="D22" s="54">
        <v>10.541666666666666</v>
      </c>
      <c r="E22" s="55" t="s">
        <v>1</v>
      </c>
      <c r="F22" s="55">
        <v>11</v>
      </c>
      <c r="G22" s="56" t="s">
        <v>57</v>
      </c>
      <c r="H22" s="57" t="s">
        <v>77</v>
      </c>
      <c r="I22" s="56" t="s">
        <v>56</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143</v>
      </c>
      <c r="B23" s="52" t="s">
        <v>114</v>
      </c>
      <c r="C23" s="53">
        <v>0.92638888888888893</v>
      </c>
      <c r="D23" s="54">
        <v>10.708333333333334</v>
      </c>
      <c r="E23" s="55" t="s">
        <v>1</v>
      </c>
      <c r="F23" s="55">
        <v>11</v>
      </c>
      <c r="G23" s="56" t="s">
        <v>58</v>
      </c>
      <c r="H23" s="57" t="s">
        <v>77</v>
      </c>
      <c r="I23" s="56" t="s">
        <v>56</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148</v>
      </c>
      <c r="B24" s="52" t="s">
        <v>114</v>
      </c>
      <c r="C24" s="53">
        <v>0.84027777777777779</v>
      </c>
      <c r="D24" s="54">
        <v>10.541666666666666</v>
      </c>
      <c r="E24" s="55" t="s">
        <v>1</v>
      </c>
      <c r="F24" s="55">
        <v>11</v>
      </c>
      <c r="G24" s="56" t="s">
        <v>59</v>
      </c>
      <c r="H24" s="57" t="s">
        <v>77</v>
      </c>
      <c r="I24" s="56" t="s">
        <v>56</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108</v>
      </c>
      <c r="B25" s="52" t="s">
        <v>114</v>
      </c>
      <c r="C25" s="53">
        <v>0.95347222222222217</v>
      </c>
      <c r="D25" s="54">
        <v>10.625</v>
      </c>
      <c r="E25" s="55" t="s">
        <v>1</v>
      </c>
      <c r="F25" s="55">
        <v>11</v>
      </c>
      <c r="G25" s="56" t="s">
        <v>116</v>
      </c>
      <c r="H25" s="57" t="s">
        <v>77</v>
      </c>
      <c r="I25" s="56" t="s">
        <v>56</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145</v>
      </c>
      <c r="B26" s="52" t="s">
        <v>114</v>
      </c>
      <c r="C26" s="55" t="s">
        <v>84</v>
      </c>
      <c r="D26" s="54">
        <v>10.583333333333334</v>
      </c>
      <c r="E26" s="55" t="s">
        <v>1</v>
      </c>
      <c r="F26" s="55">
        <v>11</v>
      </c>
      <c r="G26" s="56" t="s">
        <v>60</v>
      </c>
      <c r="H26" s="57" t="s">
        <v>77</v>
      </c>
      <c r="I26" s="56" t="s">
        <v>56</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144</v>
      </c>
      <c r="B27" s="52" t="s">
        <v>114</v>
      </c>
      <c r="C27" s="55" t="s">
        <v>84</v>
      </c>
      <c r="D27" s="54">
        <v>10.583333333333334</v>
      </c>
      <c r="E27" s="55" t="s">
        <v>1</v>
      </c>
      <c r="F27" s="55">
        <v>11</v>
      </c>
      <c r="G27" s="56" t="s">
        <v>115</v>
      </c>
      <c r="H27" s="57" t="s">
        <v>77</v>
      </c>
      <c r="I27" s="56" t="s">
        <v>56</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141</v>
      </c>
      <c r="B28" s="52" t="s">
        <v>114</v>
      </c>
      <c r="C28" s="55" t="s">
        <v>84</v>
      </c>
      <c r="D28" s="54">
        <v>10.541666666666666</v>
      </c>
      <c r="E28" s="55" t="s">
        <v>1</v>
      </c>
      <c r="F28" s="55">
        <v>11</v>
      </c>
      <c r="G28" s="56" t="s">
        <v>61</v>
      </c>
      <c r="H28" s="57" t="s">
        <v>77</v>
      </c>
      <c r="I28" s="56" t="s">
        <v>56</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119</v>
      </c>
      <c r="B29" s="52" t="s">
        <v>114</v>
      </c>
      <c r="C29" s="55" t="s">
        <v>84</v>
      </c>
      <c r="D29" s="54">
        <v>10.458333333333334</v>
      </c>
      <c r="E29" s="55" t="s">
        <v>1</v>
      </c>
      <c r="F29" s="55">
        <v>11</v>
      </c>
      <c r="G29" s="56" t="s">
        <v>54</v>
      </c>
      <c r="H29" s="57" t="s">
        <v>77</v>
      </c>
      <c r="I29" s="56" t="s">
        <v>57</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111</v>
      </c>
      <c r="B30" s="52" t="s">
        <v>114</v>
      </c>
      <c r="C30" s="55" t="s">
        <v>84</v>
      </c>
      <c r="D30" s="54">
        <v>10.541666666666666</v>
      </c>
      <c r="E30" s="55" t="s">
        <v>1</v>
      </c>
      <c r="F30" s="55">
        <v>11</v>
      </c>
      <c r="G30" s="56" t="s">
        <v>55</v>
      </c>
      <c r="H30" s="57" t="s">
        <v>77</v>
      </c>
      <c r="I30" s="56" t="s">
        <v>57</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94</v>
      </c>
      <c r="B31" s="52" t="s">
        <v>114</v>
      </c>
      <c r="C31" s="55" t="s">
        <v>84</v>
      </c>
      <c r="D31" s="54">
        <v>10.541666666666666</v>
      </c>
      <c r="E31" s="55" t="s">
        <v>1</v>
      </c>
      <c r="F31" s="55">
        <v>11</v>
      </c>
      <c r="G31" s="56" t="s">
        <v>56</v>
      </c>
      <c r="H31" s="57" t="s">
        <v>77</v>
      </c>
      <c r="I31" s="56" t="s">
        <v>57</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93</v>
      </c>
      <c r="B32" s="52" t="s">
        <v>114</v>
      </c>
      <c r="C32" s="55" t="s">
        <v>84</v>
      </c>
      <c r="D32" s="54">
        <v>10.791666666666666</v>
      </c>
      <c r="E32" s="55" t="s">
        <v>1</v>
      </c>
      <c r="F32" s="55">
        <v>11</v>
      </c>
      <c r="G32" s="56" t="s">
        <v>58</v>
      </c>
      <c r="H32" s="57" t="s">
        <v>77</v>
      </c>
      <c r="I32" s="56" t="s">
        <v>57</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96</v>
      </c>
      <c r="B33" s="52" t="s">
        <v>114</v>
      </c>
      <c r="C33" s="55" t="s">
        <v>84</v>
      </c>
      <c r="D33" s="54">
        <v>10.541666666666666</v>
      </c>
      <c r="E33" s="55" t="s">
        <v>1</v>
      </c>
      <c r="F33" s="55">
        <v>11</v>
      </c>
      <c r="G33" s="56" t="s">
        <v>59</v>
      </c>
      <c r="H33" s="57" t="s">
        <v>77</v>
      </c>
      <c r="I33" s="56" t="s">
        <v>57</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107</v>
      </c>
      <c r="B34" s="52" t="s">
        <v>114</v>
      </c>
      <c r="C34" s="55" t="s">
        <v>84</v>
      </c>
      <c r="D34" s="54">
        <v>10.541666666666666</v>
      </c>
      <c r="E34" s="55" t="s">
        <v>1</v>
      </c>
      <c r="F34" s="55">
        <v>11</v>
      </c>
      <c r="G34" s="56" t="s">
        <v>60</v>
      </c>
      <c r="H34" s="57" t="s">
        <v>77</v>
      </c>
      <c r="I34" s="56" t="s">
        <v>57</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106</v>
      </c>
      <c r="B35" s="52" t="s">
        <v>114</v>
      </c>
      <c r="C35" s="55" t="s">
        <v>84</v>
      </c>
      <c r="D35" s="54">
        <v>10.625</v>
      </c>
      <c r="E35" s="55" t="s">
        <v>1</v>
      </c>
      <c r="F35" s="55">
        <v>11</v>
      </c>
      <c r="G35" s="56" t="s">
        <v>115</v>
      </c>
      <c r="H35" s="57" t="s">
        <v>77</v>
      </c>
      <c r="I35" s="56" t="s">
        <v>57</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95</v>
      </c>
      <c r="B36" s="52" t="s">
        <v>114</v>
      </c>
      <c r="C36" s="55" t="s">
        <v>84</v>
      </c>
      <c r="D36" s="54">
        <v>10.541666666666666</v>
      </c>
      <c r="E36" s="55" t="s">
        <v>1</v>
      </c>
      <c r="F36" s="55">
        <v>11</v>
      </c>
      <c r="G36" s="56" t="s">
        <v>61</v>
      </c>
      <c r="H36" s="57" t="s">
        <v>77</v>
      </c>
      <c r="I36" s="56" t="s">
        <v>57</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81</v>
      </c>
      <c r="B37" s="52" t="s">
        <v>114</v>
      </c>
      <c r="C37" s="55" t="s">
        <v>84</v>
      </c>
      <c r="D37" s="54">
        <v>10.625</v>
      </c>
      <c r="E37" s="55" t="s">
        <v>1</v>
      </c>
      <c r="F37" s="55">
        <v>11</v>
      </c>
      <c r="G37" s="56" t="s">
        <v>54</v>
      </c>
      <c r="H37" s="57" t="s">
        <v>77</v>
      </c>
      <c r="I37" s="56" t="s">
        <v>58</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98</v>
      </c>
      <c r="B38" s="52" t="s">
        <v>114</v>
      </c>
      <c r="C38" s="55" t="s">
        <v>84</v>
      </c>
      <c r="D38" s="54">
        <v>10.75</v>
      </c>
      <c r="E38" s="55" t="s">
        <v>1</v>
      </c>
      <c r="F38" s="55">
        <v>11</v>
      </c>
      <c r="G38" s="56" t="s">
        <v>55</v>
      </c>
      <c r="H38" s="57" t="s">
        <v>77</v>
      </c>
      <c r="I38" s="56" t="s">
        <v>58</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109</v>
      </c>
      <c r="B39" s="52" t="s">
        <v>114</v>
      </c>
      <c r="C39" s="55" t="s">
        <v>84</v>
      </c>
      <c r="D39" s="54">
        <v>10.916666666666666</v>
      </c>
      <c r="E39" s="55" t="s">
        <v>1</v>
      </c>
      <c r="F39" s="55">
        <v>11</v>
      </c>
      <c r="G39" s="56" t="s">
        <v>56</v>
      </c>
      <c r="H39" s="57" t="s">
        <v>77</v>
      </c>
      <c r="I39" s="56" t="s">
        <v>58</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78</v>
      </c>
      <c r="B40" s="52" t="s">
        <v>114</v>
      </c>
      <c r="C40" s="53">
        <v>0.95833333333333337</v>
      </c>
      <c r="D40" s="54">
        <v>11.208333333333334</v>
      </c>
      <c r="E40" s="55" t="s">
        <v>1</v>
      </c>
      <c r="F40" s="55">
        <v>11</v>
      </c>
      <c r="G40" s="56" t="s">
        <v>57</v>
      </c>
      <c r="H40" s="57" t="s">
        <v>77</v>
      </c>
      <c r="I40" s="56" t="s">
        <v>58</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99</v>
      </c>
      <c r="B41" s="52" t="s">
        <v>114</v>
      </c>
      <c r="C41" s="55" t="s">
        <v>84</v>
      </c>
      <c r="D41" s="54">
        <v>10.875</v>
      </c>
      <c r="E41" s="55" t="s">
        <v>1</v>
      </c>
      <c r="F41" s="55">
        <v>11</v>
      </c>
      <c r="G41" s="56" t="s">
        <v>59</v>
      </c>
      <c r="H41" s="57" t="s">
        <v>77</v>
      </c>
      <c r="I41" s="56" t="s">
        <v>58</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76</v>
      </c>
      <c r="B42" s="52" t="s">
        <v>114</v>
      </c>
      <c r="C42" s="53">
        <v>0.95694444444444438</v>
      </c>
      <c r="D42" s="54">
        <v>10.916666666666666</v>
      </c>
      <c r="E42" s="55" t="s">
        <v>1</v>
      </c>
      <c r="F42" s="55">
        <v>11</v>
      </c>
      <c r="G42" s="56" t="s">
        <v>116</v>
      </c>
      <c r="H42" s="57" t="s">
        <v>77</v>
      </c>
      <c r="I42" s="56" t="s">
        <v>58</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100</v>
      </c>
      <c r="B43" s="52" t="s">
        <v>114</v>
      </c>
      <c r="C43" s="55" t="s">
        <v>84</v>
      </c>
      <c r="D43" s="54">
        <v>10.708333333333334</v>
      </c>
      <c r="E43" s="55" t="s">
        <v>1</v>
      </c>
      <c r="F43" s="55">
        <v>11</v>
      </c>
      <c r="G43" s="56" t="s">
        <v>60</v>
      </c>
      <c r="H43" s="57" t="s">
        <v>77</v>
      </c>
      <c r="I43" s="56" t="s">
        <v>58</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86</v>
      </c>
      <c r="B44" s="52" t="s">
        <v>114</v>
      </c>
      <c r="C44" s="55" t="s">
        <v>84</v>
      </c>
      <c r="D44" s="54">
        <v>11.25</v>
      </c>
      <c r="E44" s="55" t="s">
        <v>1</v>
      </c>
      <c r="F44" s="55">
        <v>11</v>
      </c>
      <c r="G44" s="56" t="s">
        <v>115</v>
      </c>
      <c r="H44" s="57" t="s">
        <v>77</v>
      </c>
      <c r="I44" s="56" t="s">
        <v>58</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83</v>
      </c>
      <c r="B45" s="52" t="s">
        <v>114</v>
      </c>
      <c r="C45" s="55" t="s">
        <v>84</v>
      </c>
      <c r="D45" s="54">
        <v>10.791666666666666</v>
      </c>
      <c r="E45" s="55" t="s">
        <v>1</v>
      </c>
      <c r="F45" s="55">
        <v>11</v>
      </c>
      <c r="G45" s="56" t="s">
        <v>61</v>
      </c>
      <c r="H45" s="57" t="s">
        <v>77</v>
      </c>
      <c r="I45" s="56" t="s">
        <v>58</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101</v>
      </c>
      <c r="B46" s="52" t="s">
        <v>114</v>
      </c>
      <c r="C46" s="55" t="s">
        <v>84</v>
      </c>
      <c r="D46" s="54">
        <v>10.541666666666666</v>
      </c>
      <c r="E46" s="55" t="s">
        <v>1</v>
      </c>
      <c r="F46" s="55">
        <v>11</v>
      </c>
      <c r="G46" s="56" t="s">
        <v>54</v>
      </c>
      <c r="H46" s="57" t="s">
        <v>77</v>
      </c>
      <c r="I46" s="56" t="s">
        <v>59</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80</v>
      </c>
      <c r="B47" s="52" t="s">
        <v>114</v>
      </c>
      <c r="C47" s="53">
        <v>0.90833333333333333</v>
      </c>
      <c r="D47" s="54">
        <v>10.625</v>
      </c>
      <c r="E47" s="55" t="s">
        <v>1</v>
      </c>
      <c r="F47" s="55">
        <v>11</v>
      </c>
      <c r="G47" s="56" t="s">
        <v>55</v>
      </c>
      <c r="H47" s="57" t="s">
        <v>77</v>
      </c>
      <c r="I47" s="56" t="s">
        <v>59</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99</v>
      </c>
      <c r="B48" s="52" t="s">
        <v>114</v>
      </c>
      <c r="C48" s="55" t="s">
        <v>84</v>
      </c>
      <c r="D48" s="54">
        <v>10.583333333333334</v>
      </c>
      <c r="E48" s="55" t="s">
        <v>1</v>
      </c>
      <c r="F48" s="55">
        <v>11</v>
      </c>
      <c r="G48" s="56" t="s">
        <v>56</v>
      </c>
      <c r="H48" s="57" t="s">
        <v>77</v>
      </c>
      <c r="I48" s="56" t="s">
        <v>59</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104</v>
      </c>
      <c r="B49" s="52" t="s">
        <v>114</v>
      </c>
      <c r="C49" s="53">
        <v>0.90138888888888891</v>
      </c>
      <c r="D49" s="54">
        <v>10.666666666666666</v>
      </c>
      <c r="E49" s="55" t="s">
        <v>1</v>
      </c>
      <c r="F49" s="55">
        <v>11</v>
      </c>
      <c r="G49" s="56" t="s">
        <v>57</v>
      </c>
      <c r="H49" s="57" t="s">
        <v>77</v>
      </c>
      <c r="I49" s="56" t="s">
        <v>59</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82</v>
      </c>
      <c r="B50" s="52" t="s">
        <v>114</v>
      </c>
      <c r="C50" s="53">
        <v>0.92499999999999993</v>
      </c>
      <c r="D50" s="54">
        <v>10.833333333333334</v>
      </c>
      <c r="E50" s="55" t="s">
        <v>1</v>
      </c>
      <c r="F50" s="55">
        <v>11</v>
      </c>
      <c r="G50" s="56" t="s">
        <v>58</v>
      </c>
      <c r="H50" s="57" t="s">
        <v>77</v>
      </c>
      <c r="I50" s="56" t="s">
        <v>59</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79</v>
      </c>
      <c r="B51" s="52" t="s">
        <v>114</v>
      </c>
      <c r="C51" s="53">
        <v>0.95277777777777783</v>
      </c>
      <c r="D51" s="54">
        <v>10.541666666666666</v>
      </c>
      <c r="E51" s="55" t="s">
        <v>1</v>
      </c>
      <c r="F51" s="55">
        <v>11</v>
      </c>
      <c r="G51" s="56" t="s">
        <v>116</v>
      </c>
      <c r="H51" s="57" t="s">
        <v>77</v>
      </c>
      <c r="I51" s="56" t="s">
        <v>59</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109</v>
      </c>
      <c r="B52" s="52" t="s">
        <v>114</v>
      </c>
      <c r="C52" s="55" t="s">
        <v>84</v>
      </c>
      <c r="D52" s="54">
        <v>10.625</v>
      </c>
      <c r="E52" s="55" t="s">
        <v>1</v>
      </c>
      <c r="F52" s="55">
        <v>11</v>
      </c>
      <c r="G52" s="56" t="s">
        <v>60</v>
      </c>
      <c r="H52" s="57" t="s">
        <v>77</v>
      </c>
      <c r="I52" s="56" t="s">
        <v>59</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81</v>
      </c>
      <c r="B53" s="52" t="s">
        <v>114</v>
      </c>
      <c r="C53" s="53">
        <v>0.90833333333333333</v>
      </c>
      <c r="D53" s="54">
        <v>10.541666666666666</v>
      </c>
      <c r="E53" s="55" t="s">
        <v>1</v>
      </c>
      <c r="F53" s="55">
        <v>11</v>
      </c>
      <c r="G53" s="56" t="s">
        <v>115</v>
      </c>
      <c r="H53" s="57" t="s">
        <v>77</v>
      </c>
      <c r="I53" s="56" t="s">
        <v>59</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100</v>
      </c>
      <c r="B54" s="52" t="s">
        <v>114</v>
      </c>
      <c r="C54" s="53">
        <v>0.95277777777777783</v>
      </c>
      <c r="D54" s="54">
        <v>10.708333333333334</v>
      </c>
      <c r="E54" s="55" t="s">
        <v>1</v>
      </c>
      <c r="F54" s="55">
        <v>11</v>
      </c>
      <c r="G54" s="56" t="s">
        <v>61</v>
      </c>
      <c r="H54" s="57" t="s">
        <v>77</v>
      </c>
      <c r="I54" s="56" t="s">
        <v>59</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111</v>
      </c>
      <c r="B55" s="52" t="s">
        <v>114</v>
      </c>
      <c r="C55" s="55" t="s">
        <v>84</v>
      </c>
      <c r="D55" s="54">
        <v>10.583333333333334</v>
      </c>
      <c r="E55" s="55" t="s">
        <v>1</v>
      </c>
      <c r="F55" s="55">
        <v>11</v>
      </c>
      <c r="G55" s="56" t="s">
        <v>54</v>
      </c>
      <c r="H55" s="57" t="s">
        <v>77</v>
      </c>
      <c r="I55" s="56" t="s">
        <v>116</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110</v>
      </c>
      <c r="B56" s="52" t="s">
        <v>114</v>
      </c>
      <c r="C56" s="55" t="s">
        <v>84</v>
      </c>
      <c r="D56" s="54">
        <v>10.541666666666666</v>
      </c>
      <c r="E56" s="55" t="s">
        <v>1</v>
      </c>
      <c r="F56" s="55">
        <v>11</v>
      </c>
      <c r="G56" s="56" t="s">
        <v>55</v>
      </c>
      <c r="H56" s="57" t="s">
        <v>77</v>
      </c>
      <c r="I56" s="56" t="s">
        <v>116</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89</v>
      </c>
      <c r="B57" s="52" t="s">
        <v>114</v>
      </c>
      <c r="C57" s="55" t="s">
        <v>84</v>
      </c>
      <c r="D57" s="54">
        <v>11.041666666666666</v>
      </c>
      <c r="E57" s="55" t="s">
        <v>1</v>
      </c>
      <c r="F57" s="55">
        <v>11</v>
      </c>
      <c r="G57" s="56" t="s">
        <v>56</v>
      </c>
      <c r="H57" s="57" t="s">
        <v>77</v>
      </c>
      <c r="I57" s="56" t="s">
        <v>116</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87</v>
      </c>
      <c r="B58" s="52" t="s">
        <v>114</v>
      </c>
      <c r="C58" s="53">
        <v>0.96527777777777779</v>
      </c>
      <c r="D58" s="54">
        <v>10.625</v>
      </c>
      <c r="E58" s="55" t="s">
        <v>1</v>
      </c>
      <c r="F58" s="55">
        <v>11</v>
      </c>
      <c r="G58" s="56" t="s">
        <v>57</v>
      </c>
      <c r="H58" s="57" t="s">
        <v>77</v>
      </c>
      <c r="I58" s="56" t="s">
        <v>116</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112</v>
      </c>
      <c r="B59" s="52" t="s">
        <v>114</v>
      </c>
      <c r="C59" s="55" t="s">
        <v>84</v>
      </c>
      <c r="D59" s="54">
        <v>10.958333333333334</v>
      </c>
      <c r="E59" s="55" t="s">
        <v>1</v>
      </c>
      <c r="F59" s="55">
        <v>11</v>
      </c>
      <c r="G59" s="56" t="s">
        <v>58</v>
      </c>
      <c r="H59" s="57" t="s">
        <v>77</v>
      </c>
      <c r="I59" s="56" t="s">
        <v>116</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93</v>
      </c>
      <c r="B60" s="52" t="s">
        <v>114</v>
      </c>
      <c r="C60" s="55" t="s">
        <v>84</v>
      </c>
      <c r="D60" s="54">
        <v>10.583333333333334</v>
      </c>
      <c r="E60" s="55" t="s">
        <v>1</v>
      </c>
      <c r="F60" s="55">
        <v>11</v>
      </c>
      <c r="G60" s="56" t="s">
        <v>59</v>
      </c>
      <c r="H60" s="57" t="s">
        <v>77</v>
      </c>
      <c r="I60" s="56" t="s">
        <v>116</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92</v>
      </c>
      <c r="B61" s="52" t="s">
        <v>114</v>
      </c>
      <c r="C61" s="55" t="s">
        <v>84</v>
      </c>
      <c r="D61" s="54">
        <v>10.75</v>
      </c>
      <c r="E61" s="55" t="s">
        <v>1</v>
      </c>
      <c r="F61" s="55">
        <v>11</v>
      </c>
      <c r="G61" s="56" t="s">
        <v>60</v>
      </c>
      <c r="H61" s="57" t="s">
        <v>77</v>
      </c>
      <c r="I61" s="56" t="s">
        <v>116</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91</v>
      </c>
      <c r="B62" s="52" t="s">
        <v>114</v>
      </c>
      <c r="C62" s="53">
        <v>0.97361111111111109</v>
      </c>
      <c r="D62" s="54">
        <v>10.75</v>
      </c>
      <c r="E62" s="55" t="s">
        <v>1</v>
      </c>
      <c r="F62" s="55">
        <v>11</v>
      </c>
      <c r="G62" s="56" t="s">
        <v>115</v>
      </c>
      <c r="H62" s="57" t="s">
        <v>77</v>
      </c>
      <c r="I62" s="56" t="s">
        <v>116</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88</v>
      </c>
      <c r="B63" s="52" t="s">
        <v>114</v>
      </c>
      <c r="C63" s="55" t="s">
        <v>84</v>
      </c>
      <c r="D63" s="54">
        <v>10.708333333333334</v>
      </c>
      <c r="E63" s="55" t="s">
        <v>1</v>
      </c>
      <c r="F63" s="55">
        <v>11</v>
      </c>
      <c r="G63" s="56" t="s">
        <v>61</v>
      </c>
      <c r="H63" s="57" t="s">
        <v>77</v>
      </c>
      <c r="I63" s="56" t="s">
        <v>116</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106</v>
      </c>
      <c r="B64" s="52" t="s">
        <v>114</v>
      </c>
      <c r="C64" s="55" t="s">
        <v>84</v>
      </c>
      <c r="D64" s="54">
        <v>10.625</v>
      </c>
      <c r="E64" s="55" t="s">
        <v>1</v>
      </c>
      <c r="F64" s="55">
        <v>11</v>
      </c>
      <c r="G64" s="56" t="s">
        <v>54</v>
      </c>
      <c r="H64" s="57" t="s">
        <v>77</v>
      </c>
      <c r="I64" s="56" t="s">
        <v>60</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107</v>
      </c>
      <c r="B65" s="52" t="s">
        <v>114</v>
      </c>
      <c r="C65" s="53">
        <v>0.90347222222222223</v>
      </c>
      <c r="D65" s="54">
        <v>10.625</v>
      </c>
      <c r="E65" s="55" t="s">
        <v>1</v>
      </c>
      <c r="F65" s="55">
        <v>11</v>
      </c>
      <c r="G65" s="56" t="s">
        <v>55</v>
      </c>
      <c r="H65" s="57" t="s">
        <v>77</v>
      </c>
      <c r="I65" s="56" t="s">
        <v>60</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141</v>
      </c>
      <c r="B66" s="52" t="s">
        <v>114</v>
      </c>
      <c r="C66" s="53">
        <v>0.69027777777777777</v>
      </c>
      <c r="D66" s="54">
        <v>10.583333333333334</v>
      </c>
      <c r="E66" s="55" t="s">
        <v>1</v>
      </c>
      <c r="F66" s="55">
        <v>11</v>
      </c>
      <c r="G66" s="56" t="s">
        <v>56</v>
      </c>
      <c r="H66" s="57" t="s">
        <v>77</v>
      </c>
      <c r="I66" s="56" t="s">
        <v>60</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111</v>
      </c>
      <c r="B67" s="52" t="s">
        <v>114</v>
      </c>
      <c r="C67" s="53">
        <v>0.9</v>
      </c>
      <c r="D67" s="54">
        <v>10.875</v>
      </c>
      <c r="E67" s="55" t="s">
        <v>1</v>
      </c>
      <c r="F67" s="55">
        <v>11</v>
      </c>
      <c r="G67" s="56" t="s">
        <v>57</v>
      </c>
      <c r="H67" s="57" t="s">
        <v>77</v>
      </c>
      <c r="I67" s="56" t="s">
        <v>60</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95</v>
      </c>
      <c r="B68" s="52" t="s">
        <v>114</v>
      </c>
      <c r="C68" s="53">
        <v>0.7368055555555556</v>
      </c>
      <c r="D68" s="54">
        <v>10.833333333333334</v>
      </c>
      <c r="E68" s="55" t="s">
        <v>1</v>
      </c>
      <c r="F68" s="55">
        <v>11</v>
      </c>
      <c r="G68" s="56" t="s">
        <v>58</v>
      </c>
      <c r="H68" s="57" t="s">
        <v>77</v>
      </c>
      <c r="I68" s="56" t="s">
        <v>60</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108</v>
      </c>
      <c r="B69" s="52" t="s">
        <v>114</v>
      </c>
      <c r="C69" s="53">
        <v>0.83750000000000002</v>
      </c>
      <c r="D69" s="54">
        <v>10.625</v>
      </c>
      <c r="E69" s="55" t="s">
        <v>1</v>
      </c>
      <c r="F69" s="55">
        <v>11</v>
      </c>
      <c r="G69" s="56" t="s">
        <v>59</v>
      </c>
      <c r="H69" s="57" t="s">
        <v>77</v>
      </c>
      <c r="I69" s="56" t="s">
        <v>60</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93</v>
      </c>
      <c r="B70" s="52" t="s">
        <v>114</v>
      </c>
      <c r="C70" s="53">
        <v>0.9555555555555556</v>
      </c>
      <c r="D70" s="54">
        <v>10.708333333333334</v>
      </c>
      <c r="E70" s="55" t="s">
        <v>1</v>
      </c>
      <c r="F70" s="55">
        <v>11</v>
      </c>
      <c r="G70" s="56" t="s">
        <v>116</v>
      </c>
      <c r="H70" s="57" t="s">
        <v>77</v>
      </c>
      <c r="I70" s="56" t="s">
        <v>60</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96</v>
      </c>
      <c r="B71" s="52" t="s">
        <v>114</v>
      </c>
      <c r="C71" s="53">
        <v>0.86458333333333337</v>
      </c>
      <c r="D71" s="54">
        <v>10.833333333333334</v>
      </c>
      <c r="E71" s="55" t="s">
        <v>1</v>
      </c>
      <c r="F71" s="55">
        <v>11</v>
      </c>
      <c r="G71" s="56" t="s">
        <v>115</v>
      </c>
      <c r="H71" s="57" t="s">
        <v>77</v>
      </c>
      <c r="I71" s="56" t="s">
        <v>60</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94</v>
      </c>
      <c r="B72" s="52" t="s">
        <v>114</v>
      </c>
      <c r="C72" s="53">
        <v>0.9506944444444444</v>
      </c>
      <c r="D72" s="54">
        <v>10.666666666666666</v>
      </c>
      <c r="E72" s="55" t="s">
        <v>1</v>
      </c>
      <c r="F72" s="55">
        <v>11</v>
      </c>
      <c r="G72" s="56" t="s">
        <v>61</v>
      </c>
      <c r="H72" s="57" t="s">
        <v>77</v>
      </c>
      <c r="I72" s="56" t="s">
        <v>60</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126</v>
      </c>
      <c r="B73" s="52" t="s">
        <v>114</v>
      </c>
      <c r="C73" s="55" t="s">
        <v>84</v>
      </c>
      <c r="D73" s="54">
        <v>10.666666666666666</v>
      </c>
      <c r="E73" s="55" t="s">
        <v>1</v>
      </c>
      <c r="F73" s="55">
        <v>11</v>
      </c>
      <c r="G73" s="56" t="s">
        <v>54</v>
      </c>
      <c r="H73" s="57" t="s">
        <v>77</v>
      </c>
      <c r="I73" s="56" t="s">
        <v>115</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120</v>
      </c>
      <c r="B74" s="52" t="s">
        <v>114</v>
      </c>
      <c r="C74" s="55" t="s">
        <v>84</v>
      </c>
      <c r="D74" s="54">
        <v>10.5</v>
      </c>
      <c r="E74" s="55" t="s">
        <v>1</v>
      </c>
      <c r="F74" s="55">
        <v>11</v>
      </c>
      <c r="G74" s="56" t="s">
        <v>55</v>
      </c>
      <c r="H74" s="57" t="s">
        <v>77</v>
      </c>
      <c r="I74" s="56" t="s">
        <v>115</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131</v>
      </c>
      <c r="B75" s="52" t="s">
        <v>114</v>
      </c>
      <c r="C75" s="55" t="s">
        <v>84</v>
      </c>
      <c r="D75" s="54">
        <v>10.625</v>
      </c>
      <c r="E75" s="55" t="s">
        <v>1</v>
      </c>
      <c r="F75" s="55">
        <v>11</v>
      </c>
      <c r="G75" s="56" t="s">
        <v>56</v>
      </c>
      <c r="H75" s="57" t="s">
        <v>77</v>
      </c>
      <c r="I75" s="56" t="s">
        <v>115</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121</v>
      </c>
      <c r="B76" s="52" t="s">
        <v>114</v>
      </c>
      <c r="C76" s="53">
        <v>0.95972222222222225</v>
      </c>
      <c r="D76" s="54">
        <v>10.75</v>
      </c>
      <c r="E76" s="55" t="s">
        <v>1</v>
      </c>
      <c r="F76" s="55">
        <v>11</v>
      </c>
      <c r="G76" s="56" t="s">
        <v>57</v>
      </c>
      <c r="H76" s="57" t="s">
        <v>77</v>
      </c>
      <c r="I76" s="56" t="s">
        <v>115</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125</v>
      </c>
      <c r="B77" s="52" t="s">
        <v>114</v>
      </c>
      <c r="C77" s="55" t="s">
        <v>84</v>
      </c>
      <c r="D77" s="54">
        <v>11.125</v>
      </c>
      <c r="E77" s="55" t="s">
        <v>1</v>
      </c>
      <c r="F77" s="55">
        <v>11</v>
      </c>
      <c r="G77" s="56" t="s">
        <v>58</v>
      </c>
      <c r="H77" s="57" t="s">
        <v>77</v>
      </c>
      <c r="I77" s="56" t="s">
        <v>115</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129</v>
      </c>
      <c r="B78" s="52" t="s">
        <v>114</v>
      </c>
      <c r="C78" s="55" t="s">
        <v>84</v>
      </c>
      <c r="D78" s="54">
        <v>10.583333333333334</v>
      </c>
      <c r="E78" s="55" t="s">
        <v>1</v>
      </c>
      <c r="F78" s="55">
        <v>11</v>
      </c>
      <c r="G78" s="56" t="s">
        <v>59</v>
      </c>
      <c r="H78" s="57" t="s">
        <v>77</v>
      </c>
      <c r="I78" s="56" t="s">
        <v>115</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123</v>
      </c>
      <c r="B79" s="52" t="s">
        <v>114</v>
      </c>
      <c r="C79" s="55" t="s">
        <v>84</v>
      </c>
      <c r="D79" s="54">
        <v>10.75</v>
      </c>
      <c r="E79" s="55" t="s">
        <v>1</v>
      </c>
      <c r="F79" s="55">
        <v>11</v>
      </c>
      <c r="G79" s="56" t="s">
        <v>116</v>
      </c>
      <c r="H79" s="57" t="s">
        <v>77</v>
      </c>
      <c r="I79" s="56" t="s">
        <v>115</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122</v>
      </c>
      <c r="B80" s="52" t="s">
        <v>114</v>
      </c>
      <c r="C80" s="55" t="s">
        <v>84</v>
      </c>
      <c r="D80" s="54">
        <v>10.833333333333334</v>
      </c>
      <c r="E80" s="55" t="s">
        <v>1</v>
      </c>
      <c r="F80" s="55">
        <v>11</v>
      </c>
      <c r="G80" s="56" t="s">
        <v>60</v>
      </c>
      <c r="H80" s="57" t="s">
        <v>77</v>
      </c>
      <c r="I80" s="56" t="s">
        <v>115</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124</v>
      </c>
      <c r="B81" s="52" t="s">
        <v>114</v>
      </c>
      <c r="C81" s="55" t="s">
        <v>84</v>
      </c>
      <c r="D81" s="54">
        <v>10.75</v>
      </c>
      <c r="E81" s="55" t="s">
        <v>1</v>
      </c>
      <c r="F81" s="55">
        <v>11</v>
      </c>
      <c r="G81" s="56" t="s">
        <v>61</v>
      </c>
      <c r="H81" s="57" t="s">
        <v>77</v>
      </c>
      <c r="I81" s="56" t="s">
        <v>115</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78</v>
      </c>
      <c r="B82" s="52" t="s">
        <v>114</v>
      </c>
      <c r="C82" s="55" t="s">
        <v>84</v>
      </c>
      <c r="D82" s="54">
        <v>10.583333333333334</v>
      </c>
      <c r="E82" s="55" t="s">
        <v>1</v>
      </c>
      <c r="F82" s="55">
        <v>11</v>
      </c>
      <c r="G82" s="56" t="s">
        <v>54</v>
      </c>
      <c r="H82" s="57" t="s">
        <v>77</v>
      </c>
      <c r="I82" s="56" t="s">
        <v>61</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100</v>
      </c>
      <c r="B83" s="52" t="s">
        <v>114</v>
      </c>
      <c r="C83" s="53">
        <v>0.89583333333333337</v>
      </c>
      <c r="D83" s="54">
        <v>10.541666666666666</v>
      </c>
      <c r="E83" s="55" t="s">
        <v>1</v>
      </c>
      <c r="F83" s="55">
        <v>11</v>
      </c>
      <c r="G83" s="56" t="s">
        <v>55</v>
      </c>
      <c r="H83" s="57" t="s">
        <v>77</v>
      </c>
      <c r="I83" s="56" t="s">
        <v>61</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79</v>
      </c>
      <c r="B84" s="52" t="s">
        <v>114</v>
      </c>
      <c r="C84" s="53">
        <v>0.59444444444444444</v>
      </c>
      <c r="D84" s="54">
        <v>10.708333333333334</v>
      </c>
      <c r="E84" s="55" t="s">
        <v>1</v>
      </c>
      <c r="F84" s="55">
        <v>11</v>
      </c>
      <c r="G84" s="56" t="s">
        <v>56</v>
      </c>
      <c r="H84" s="57" t="s">
        <v>77</v>
      </c>
      <c r="I84" s="56" t="s">
        <v>61</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81</v>
      </c>
      <c r="B85" s="52" t="s">
        <v>114</v>
      </c>
      <c r="C85" s="53">
        <v>0.89444444444444438</v>
      </c>
      <c r="D85" s="54">
        <v>10.625</v>
      </c>
      <c r="E85" s="55" t="s">
        <v>1</v>
      </c>
      <c r="F85" s="55">
        <v>11</v>
      </c>
      <c r="G85" s="56" t="s">
        <v>57</v>
      </c>
      <c r="H85" s="57" t="s">
        <v>77</v>
      </c>
      <c r="I85" s="56" t="s">
        <v>61</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99</v>
      </c>
      <c r="B86" s="52" t="s">
        <v>114</v>
      </c>
      <c r="C86" s="53">
        <v>0.56527777777777777</v>
      </c>
      <c r="D86" s="54">
        <v>10.791666666666666</v>
      </c>
      <c r="E86" s="55" t="s">
        <v>1</v>
      </c>
      <c r="F86" s="55">
        <v>11</v>
      </c>
      <c r="G86" s="56" t="s">
        <v>58</v>
      </c>
      <c r="H86" s="57" t="s">
        <v>77</v>
      </c>
      <c r="I86" s="56" t="s">
        <v>61</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92</v>
      </c>
      <c r="B87" s="52" t="s">
        <v>114</v>
      </c>
      <c r="C87" s="55" t="s">
        <v>84</v>
      </c>
      <c r="D87" s="54">
        <v>10.75</v>
      </c>
      <c r="E87" s="55" t="s">
        <v>1</v>
      </c>
      <c r="F87" s="55">
        <v>11</v>
      </c>
      <c r="G87" s="56" t="s">
        <v>59</v>
      </c>
      <c r="H87" s="57" t="s">
        <v>77</v>
      </c>
      <c r="I87" s="56" t="s">
        <v>61</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83</v>
      </c>
      <c r="B88" s="52" t="s">
        <v>114</v>
      </c>
      <c r="C88" s="53">
        <v>0.95624999999999993</v>
      </c>
      <c r="D88" s="54">
        <v>10.708333333333334</v>
      </c>
      <c r="E88" s="55" t="s">
        <v>1</v>
      </c>
      <c r="F88" s="55">
        <v>11</v>
      </c>
      <c r="G88" s="56" t="s">
        <v>116</v>
      </c>
      <c r="H88" s="57" t="s">
        <v>77</v>
      </c>
      <c r="I88" s="56" t="s">
        <v>61</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82</v>
      </c>
      <c r="B89" s="52" t="s">
        <v>114</v>
      </c>
      <c r="C89" s="55" t="s">
        <v>84</v>
      </c>
      <c r="D89" s="54">
        <v>10.708333333333334</v>
      </c>
      <c r="E89" s="55" t="s">
        <v>1</v>
      </c>
      <c r="F89" s="55">
        <v>11</v>
      </c>
      <c r="G89" s="56" t="s">
        <v>60</v>
      </c>
      <c r="H89" s="57" t="s">
        <v>77</v>
      </c>
      <c r="I89" s="56" t="s">
        <v>61</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104</v>
      </c>
      <c r="B90" s="52" t="s">
        <v>114</v>
      </c>
      <c r="C90" s="53">
        <v>0.97291666666666676</v>
      </c>
      <c r="D90" s="54">
        <v>10.708333333333334</v>
      </c>
      <c r="E90" s="55" t="s">
        <v>1</v>
      </c>
      <c r="F90" s="55">
        <v>11</v>
      </c>
      <c r="G90" s="56" t="s">
        <v>115</v>
      </c>
      <c r="H90" s="57" t="s">
        <v>77</v>
      </c>
      <c r="I90" s="56" t="s">
        <v>61</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104</v>
      </c>
      <c r="B91" s="52" t="s">
        <v>114</v>
      </c>
      <c r="C91" s="55" t="s">
        <v>84</v>
      </c>
      <c r="D91" s="54">
        <v>10.541666666666666</v>
      </c>
      <c r="E91" s="55" t="s">
        <v>1</v>
      </c>
      <c r="F91" s="55">
        <v>11</v>
      </c>
      <c r="G91" s="56" t="s">
        <v>54</v>
      </c>
      <c r="H91" s="57" t="s">
        <v>77</v>
      </c>
      <c r="I91" s="56" t="s">
        <v>55</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106</v>
      </c>
      <c r="B92" s="52" t="s">
        <v>114</v>
      </c>
      <c r="C92" s="55" t="s">
        <v>84</v>
      </c>
      <c r="D92" s="54">
        <v>10.583333333333334</v>
      </c>
      <c r="E92" s="55" t="s">
        <v>1</v>
      </c>
      <c r="F92" s="55">
        <v>11</v>
      </c>
      <c r="G92" s="56" t="s">
        <v>54</v>
      </c>
      <c r="H92" s="57" t="s">
        <v>77</v>
      </c>
      <c r="I92" s="56" t="s">
        <v>56</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112</v>
      </c>
      <c r="B93" s="52" t="s">
        <v>114</v>
      </c>
      <c r="C93" s="55" t="s">
        <v>84</v>
      </c>
      <c r="D93" s="54">
        <v>10.541666666666666</v>
      </c>
      <c r="E93" s="55" t="s">
        <v>1</v>
      </c>
      <c r="F93" s="55">
        <v>11</v>
      </c>
      <c r="G93" s="56" t="s">
        <v>54</v>
      </c>
      <c r="H93" s="57" t="s">
        <v>77</v>
      </c>
      <c r="I93" s="56" t="s">
        <v>57</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80</v>
      </c>
      <c r="B94" s="52" t="s">
        <v>114</v>
      </c>
      <c r="C94" s="55" t="s">
        <v>84</v>
      </c>
      <c r="D94" s="54">
        <v>10.666666666666666</v>
      </c>
      <c r="E94" s="55" t="s">
        <v>1</v>
      </c>
      <c r="F94" s="55">
        <v>11</v>
      </c>
      <c r="G94" s="56" t="s">
        <v>54</v>
      </c>
      <c r="H94" s="57" t="s">
        <v>77</v>
      </c>
      <c r="I94" s="56" t="s">
        <v>58</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83</v>
      </c>
      <c r="B95" s="52" t="s">
        <v>114</v>
      </c>
      <c r="C95" s="55" t="s">
        <v>84</v>
      </c>
      <c r="D95" s="54">
        <v>10.583333333333334</v>
      </c>
      <c r="E95" s="55" t="s">
        <v>1</v>
      </c>
      <c r="F95" s="55">
        <v>11</v>
      </c>
      <c r="G95" s="56" t="s">
        <v>54</v>
      </c>
      <c r="H95" s="57" t="s">
        <v>77</v>
      </c>
      <c r="I95" s="56" t="s">
        <v>59</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95</v>
      </c>
      <c r="B96" s="52" t="s">
        <v>114</v>
      </c>
      <c r="C96" s="55" t="s">
        <v>84</v>
      </c>
      <c r="D96" s="54">
        <v>10.583333333333334</v>
      </c>
      <c r="E96" s="55" t="s">
        <v>1</v>
      </c>
      <c r="F96" s="55">
        <v>11</v>
      </c>
      <c r="G96" s="56" t="s">
        <v>54</v>
      </c>
      <c r="H96" s="57" t="s">
        <v>77</v>
      </c>
      <c r="I96" s="56" t="s">
        <v>116</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97</v>
      </c>
      <c r="B97" s="52" t="s">
        <v>114</v>
      </c>
      <c r="C97" s="55" t="s">
        <v>84</v>
      </c>
      <c r="D97" s="54">
        <v>10.583333333333334</v>
      </c>
      <c r="E97" s="55" t="s">
        <v>1</v>
      </c>
      <c r="F97" s="55">
        <v>11</v>
      </c>
      <c r="G97" s="56" t="s">
        <v>54</v>
      </c>
      <c r="H97" s="57" t="s">
        <v>77</v>
      </c>
      <c r="I97" s="56" t="s">
        <v>60</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127</v>
      </c>
      <c r="B98" s="52" t="s">
        <v>114</v>
      </c>
      <c r="C98" s="55" t="s">
        <v>84</v>
      </c>
      <c r="D98" s="54">
        <v>10.666666666666666</v>
      </c>
      <c r="E98" s="55" t="s">
        <v>1</v>
      </c>
      <c r="F98" s="55">
        <v>11</v>
      </c>
      <c r="G98" s="56" t="s">
        <v>54</v>
      </c>
      <c r="H98" s="57" t="s">
        <v>77</v>
      </c>
      <c r="I98" s="56" t="s">
        <v>115</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88</v>
      </c>
      <c r="B99" s="52" t="s">
        <v>114</v>
      </c>
      <c r="C99" s="55" t="s">
        <v>84</v>
      </c>
      <c r="D99" s="54">
        <v>10.541666666666666</v>
      </c>
      <c r="E99" s="55" t="s">
        <v>1</v>
      </c>
      <c r="F99" s="55">
        <v>11</v>
      </c>
      <c r="G99" s="56" t="s">
        <v>54</v>
      </c>
      <c r="H99" s="57" t="s">
        <v>77</v>
      </c>
      <c r="I99" s="56" t="s">
        <v>61</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102</v>
      </c>
      <c r="B100" s="52" t="s">
        <v>114</v>
      </c>
      <c r="C100" s="53">
        <v>0.91041666666666676</v>
      </c>
      <c r="D100" s="54">
        <v>10.541666666666666</v>
      </c>
      <c r="E100" s="55" t="s">
        <v>1</v>
      </c>
      <c r="F100" s="55">
        <v>11</v>
      </c>
      <c r="G100" s="56" t="s">
        <v>55</v>
      </c>
      <c r="H100" s="57" t="s">
        <v>77</v>
      </c>
      <c r="I100" s="31" t="s">
        <v>54</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105</v>
      </c>
      <c r="B101" s="52" t="s">
        <v>114</v>
      </c>
      <c r="C101" s="53">
        <v>0.8847222222222223</v>
      </c>
      <c r="D101" s="54">
        <v>10.541666666666666</v>
      </c>
      <c r="E101" s="55" t="s">
        <v>1</v>
      </c>
      <c r="F101" s="55">
        <v>11</v>
      </c>
      <c r="G101" s="56" t="s">
        <v>55</v>
      </c>
      <c r="H101" s="57" t="s">
        <v>77</v>
      </c>
      <c r="I101" s="56" t="s">
        <v>56</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90</v>
      </c>
      <c r="B102" s="52" t="s">
        <v>114</v>
      </c>
      <c r="C102" s="55" t="s">
        <v>84</v>
      </c>
      <c r="D102" s="54">
        <v>10.625</v>
      </c>
      <c r="E102" s="55" t="s">
        <v>1</v>
      </c>
      <c r="F102" s="55">
        <v>11</v>
      </c>
      <c r="G102" s="56" t="s">
        <v>55</v>
      </c>
      <c r="H102" s="57" t="s">
        <v>77</v>
      </c>
      <c r="I102" s="56" t="s">
        <v>57</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82</v>
      </c>
      <c r="B103" s="52" t="s">
        <v>114</v>
      </c>
      <c r="C103" s="55" t="s">
        <v>84</v>
      </c>
      <c r="D103" s="54">
        <v>10.75</v>
      </c>
      <c r="E103" s="55" t="s">
        <v>1</v>
      </c>
      <c r="F103" s="55">
        <v>11</v>
      </c>
      <c r="G103" s="56" t="s">
        <v>55</v>
      </c>
      <c r="H103" s="57" t="s">
        <v>77</v>
      </c>
      <c r="I103" s="56" t="s">
        <v>58</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76</v>
      </c>
      <c r="B104" s="52" t="s">
        <v>114</v>
      </c>
      <c r="C104" s="53">
        <v>0.90833333333333333</v>
      </c>
      <c r="D104" s="54">
        <v>10.666666666666666</v>
      </c>
      <c r="E104" s="55" t="s">
        <v>1</v>
      </c>
      <c r="F104" s="55">
        <v>11</v>
      </c>
      <c r="G104" s="56" t="s">
        <v>55</v>
      </c>
      <c r="H104" s="57" t="s">
        <v>77</v>
      </c>
      <c r="I104" s="56" t="s">
        <v>59</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96</v>
      </c>
      <c r="B105" s="52" t="s">
        <v>114</v>
      </c>
      <c r="C105" s="55" t="s">
        <v>84</v>
      </c>
      <c r="D105" s="54">
        <v>10.541666666666666</v>
      </c>
      <c r="E105" s="55" t="s">
        <v>1</v>
      </c>
      <c r="F105" s="55">
        <v>11</v>
      </c>
      <c r="G105" s="56" t="s">
        <v>55</v>
      </c>
      <c r="H105" s="57" t="s">
        <v>77</v>
      </c>
      <c r="I105" s="56" t="s">
        <v>116</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105</v>
      </c>
      <c r="B106" s="52" t="s">
        <v>114</v>
      </c>
      <c r="C106" s="53">
        <v>0.8979166666666667</v>
      </c>
      <c r="D106" s="54">
        <v>10.541666666666666</v>
      </c>
      <c r="E106" s="55" t="s">
        <v>1</v>
      </c>
      <c r="F106" s="55">
        <v>11</v>
      </c>
      <c r="G106" s="56" t="s">
        <v>55</v>
      </c>
      <c r="H106" s="57" t="s">
        <v>77</v>
      </c>
      <c r="I106" s="56" t="s">
        <v>60</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128</v>
      </c>
      <c r="B107" s="52" t="s">
        <v>114</v>
      </c>
      <c r="C107" s="55" t="s">
        <v>84</v>
      </c>
      <c r="D107" s="54">
        <v>10.541666666666666</v>
      </c>
      <c r="E107" s="55" t="s">
        <v>1</v>
      </c>
      <c r="F107" s="55">
        <v>11</v>
      </c>
      <c r="G107" s="56" t="s">
        <v>55</v>
      </c>
      <c r="H107" s="57" t="s">
        <v>77</v>
      </c>
      <c r="I107" s="56" t="s">
        <v>115</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87</v>
      </c>
      <c r="B108" s="52" t="s">
        <v>114</v>
      </c>
      <c r="C108" s="53">
        <v>0.89583333333333337</v>
      </c>
      <c r="D108" s="54">
        <v>10.5</v>
      </c>
      <c r="E108" s="55" t="s">
        <v>1</v>
      </c>
      <c r="F108" s="55">
        <v>11</v>
      </c>
      <c r="G108" s="56" t="s">
        <v>55</v>
      </c>
      <c r="H108" s="57" t="s">
        <v>77</v>
      </c>
      <c r="I108" s="56" t="s">
        <v>61</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91</v>
      </c>
      <c r="B109" s="52" t="s">
        <v>114</v>
      </c>
      <c r="C109" s="53">
        <v>0.68055555555555547</v>
      </c>
      <c r="D109" s="54">
        <v>10.5</v>
      </c>
      <c r="E109" s="55" t="s">
        <v>1</v>
      </c>
      <c r="F109" s="55">
        <v>11</v>
      </c>
      <c r="G109" s="56" t="s">
        <v>56</v>
      </c>
      <c r="H109" s="57" t="s">
        <v>77</v>
      </c>
      <c r="I109" s="31" t="s">
        <v>54</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102</v>
      </c>
      <c r="B110" s="52" t="s">
        <v>114</v>
      </c>
      <c r="C110" s="55" t="s">
        <v>84</v>
      </c>
      <c r="D110" s="54">
        <v>10.541666666666666</v>
      </c>
      <c r="E110" s="55" t="s">
        <v>1</v>
      </c>
      <c r="F110" s="55">
        <v>11</v>
      </c>
      <c r="G110" s="56" t="s">
        <v>56</v>
      </c>
      <c r="H110" s="57" t="s">
        <v>77</v>
      </c>
      <c r="I110" s="56" t="s">
        <v>55</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91</v>
      </c>
      <c r="B111" s="52" t="s">
        <v>114</v>
      </c>
      <c r="C111" s="55" t="s">
        <v>84</v>
      </c>
      <c r="D111" s="54">
        <v>10.583333333333334</v>
      </c>
      <c r="E111" s="55" t="s">
        <v>1</v>
      </c>
      <c r="F111" s="55">
        <v>11</v>
      </c>
      <c r="G111" s="56" t="s">
        <v>56</v>
      </c>
      <c r="H111" s="57" t="s">
        <v>77</v>
      </c>
      <c r="I111" s="56" t="s">
        <v>57</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101</v>
      </c>
      <c r="B112" s="52" t="s">
        <v>114</v>
      </c>
      <c r="C112" s="55" t="s">
        <v>84</v>
      </c>
      <c r="D112" s="54">
        <v>10.75</v>
      </c>
      <c r="E112" s="55" t="s">
        <v>1</v>
      </c>
      <c r="F112" s="55">
        <v>11</v>
      </c>
      <c r="G112" s="56" t="s">
        <v>56</v>
      </c>
      <c r="H112" s="57" t="s">
        <v>77</v>
      </c>
      <c r="I112" s="56" t="s">
        <v>58</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89</v>
      </c>
      <c r="B113" s="52" t="s">
        <v>114</v>
      </c>
      <c r="C113" s="55" t="s">
        <v>84</v>
      </c>
      <c r="D113" s="54">
        <v>10.583333333333334</v>
      </c>
      <c r="E113" s="55" t="s">
        <v>1</v>
      </c>
      <c r="F113" s="55">
        <v>11</v>
      </c>
      <c r="G113" s="56" t="s">
        <v>56</v>
      </c>
      <c r="H113" s="57" t="s">
        <v>77</v>
      </c>
      <c r="I113" s="56" t="s">
        <v>59</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106</v>
      </c>
      <c r="B114" s="52" t="s">
        <v>114</v>
      </c>
      <c r="C114" s="55" t="s">
        <v>84</v>
      </c>
      <c r="D114" s="54">
        <v>10.625</v>
      </c>
      <c r="E114" s="55" t="s">
        <v>1</v>
      </c>
      <c r="F114" s="55">
        <v>11</v>
      </c>
      <c r="G114" s="56" t="s">
        <v>56</v>
      </c>
      <c r="H114" s="57" t="s">
        <v>77</v>
      </c>
      <c r="I114" s="56" t="s">
        <v>116</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142</v>
      </c>
      <c r="B115" s="52" t="s">
        <v>114</v>
      </c>
      <c r="C115" s="53">
        <v>0.69027777777777777</v>
      </c>
      <c r="D115" s="54">
        <v>10.541666666666666</v>
      </c>
      <c r="E115" s="55" t="s">
        <v>1</v>
      </c>
      <c r="F115" s="55">
        <v>11</v>
      </c>
      <c r="G115" s="56" t="s">
        <v>56</v>
      </c>
      <c r="H115" s="57" t="s">
        <v>77</v>
      </c>
      <c r="I115" s="56" t="s">
        <v>60</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133</v>
      </c>
      <c r="B116" s="52" t="s">
        <v>114</v>
      </c>
      <c r="C116" s="53">
        <v>0.65486111111111112</v>
      </c>
      <c r="D116" s="54">
        <v>10.583333333333334</v>
      </c>
      <c r="E116" s="55" t="s">
        <v>1</v>
      </c>
      <c r="F116" s="55">
        <v>11</v>
      </c>
      <c r="G116" s="56" t="s">
        <v>56</v>
      </c>
      <c r="H116" s="57" t="s">
        <v>77</v>
      </c>
      <c r="I116" s="56" t="s">
        <v>115</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112</v>
      </c>
      <c r="B117" s="52" t="s">
        <v>114</v>
      </c>
      <c r="C117" s="53">
        <v>0.59305555555555556</v>
      </c>
      <c r="D117" s="54">
        <v>10.541666666666666</v>
      </c>
      <c r="E117" s="55" t="s">
        <v>1</v>
      </c>
      <c r="F117" s="55">
        <v>11</v>
      </c>
      <c r="G117" s="56" t="s">
        <v>56</v>
      </c>
      <c r="H117" s="57" t="s">
        <v>77</v>
      </c>
      <c r="I117" s="56" t="s">
        <v>61</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107</v>
      </c>
      <c r="B118" s="52" t="s">
        <v>114</v>
      </c>
      <c r="C118" s="53">
        <v>0.89861111111111114</v>
      </c>
      <c r="D118" s="54">
        <v>10.458333333333334</v>
      </c>
      <c r="E118" s="55" t="s">
        <v>1</v>
      </c>
      <c r="F118" s="55">
        <v>11</v>
      </c>
      <c r="G118" s="56" t="s">
        <v>57</v>
      </c>
      <c r="H118" s="57" t="s">
        <v>77</v>
      </c>
      <c r="I118" s="31" t="s">
        <v>54</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113</v>
      </c>
      <c r="B119" s="52" t="s">
        <v>114</v>
      </c>
      <c r="C119" s="53">
        <v>0.90347222222222223</v>
      </c>
      <c r="D119" s="54">
        <v>10.5</v>
      </c>
      <c r="E119" s="55" t="s">
        <v>1</v>
      </c>
      <c r="F119" s="55">
        <v>11</v>
      </c>
      <c r="G119" s="56" t="s">
        <v>57</v>
      </c>
      <c r="H119" s="57" t="s">
        <v>77</v>
      </c>
      <c r="I119" s="56" t="s">
        <v>55</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152</v>
      </c>
      <c r="B120" s="52" t="s">
        <v>114</v>
      </c>
      <c r="C120" s="53">
        <v>0.89583333333333337</v>
      </c>
      <c r="D120" s="54">
        <v>10.541666666666666</v>
      </c>
      <c r="E120" s="55" t="s">
        <v>1</v>
      </c>
      <c r="F120" s="55">
        <v>11</v>
      </c>
      <c r="G120" s="56" t="s">
        <v>57</v>
      </c>
      <c r="H120" s="57" t="s">
        <v>77</v>
      </c>
      <c r="I120" s="56" t="s">
        <v>56</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89</v>
      </c>
      <c r="B121" s="52" t="s">
        <v>114</v>
      </c>
      <c r="C121" s="53">
        <v>0.9590277777777777</v>
      </c>
      <c r="D121" s="54">
        <v>10.791666666666666</v>
      </c>
      <c r="E121" s="55" t="s">
        <v>1</v>
      </c>
      <c r="F121" s="55">
        <v>11</v>
      </c>
      <c r="G121" s="56" t="s">
        <v>57</v>
      </c>
      <c r="H121" s="57" t="s">
        <v>77</v>
      </c>
      <c r="I121" s="56" t="s">
        <v>58</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88</v>
      </c>
      <c r="B122" s="52" t="s">
        <v>114</v>
      </c>
      <c r="C122" s="53">
        <v>0.90138888888888891</v>
      </c>
      <c r="D122" s="54">
        <v>10.541666666666666</v>
      </c>
      <c r="E122" s="55" t="s">
        <v>1</v>
      </c>
      <c r="F122" s="55">
        <v>11</v>
      </c>
      <c r="G122" s="56" t="s">
        <v>57</v>
      </c>
      <c r="H122" s="57" t="s">
        <v>77</v>
      </c>
      <c r="I122" s="56" t="s">
        <v>59</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144</v>
      </c>
      <c r="B123" s="52" t="s">
        <v>114</v>
      </c>
      <c r="C123" s="53">
        <v>0.89930555555555547</v>
      </c>
      <c r="D123" s="54">
        <v>10.541666666666666</v>
      </c>
      <c r="E123" s="55" t="s">
        <v>1</v>
      </c>
      <c r="F123" s="55">
        <v>11</v>
      </c>
      <c r="G123" s="56" t="s">
        <v>57</v>
      </c>
      <c r="H123" s="57" t="s">
        <v>77</v>
      </c>
      <c r="I123" s="56" t="s">
        <v>60</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165</v>
      </c>
      <c r="B124" s="52" t="s">
        <v>114</v>
      </c>
      <c r="C124" s="53">
        <v>0.97986111111111107</v>
      </c>
      <c r="D124" s="54">
        <v>10.583333333333334</v>
      </c>
      <c r="E124" s="55" t="s">
        <v>1</v>
      </c>
      <c r="F124" s="55">
        <v>11</v>
      </c>
      <c r="G124" s="56" t="s">
        <v>57</v>
      </c>
      <c r="H124" s="57" t="s">
        <v>77</v>
      </c>
      <c r="I124" s="56" t="s">
        <v>115</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90</v>
      </c>
      <c r="B125" s="52" t="s">
        <v>114</v>
      </c>
      <c r="C125" s="53">
        <v>0.60902777777777783</v>
      </c>
      <c r="D125" s="54">
        <v>10.541666666666666</v>
      </c>
      <c r="E125" s="55" t="s">
        <v>1</v>
      </c>
      <c r="F125" s="55">
        <v>11</v>
      </c>
      <c r="G125" s="56" t="s">
        <v>57</v>
      </c>
      <c r="H125" s="57" t="s">
        <v>77</v>
      </c>
      <c r="I125" s="56" t="s">
        <v>61</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109</v>
      </c>
      <c r="B126" s="52" t="s">
        <v>114</v>
      </c>
      <c r="C126" s="53">
        <v>0.73125000000000007</v>
      </c>
      <c r="D126" s="54">
        <v>10.625</v>
      </c>
      <c r="E126" s="55" t="s">
        <v>1</v>
      </c>
      <c r="F126" s="55">
        <v>11</v>
      </c>
      <c r="G126" s="56" t="s">
        <v>58</v>
      </c>
      <c r="H126" s="57" t="s">
        <v>77</v>
      </c>
      <c r="I126" s="31" t="s">
        <v>54</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100</v>
      </c>
      <c r="B127" s="52" t="s">
        <v>114</v>
      </c>
      <c r="C127" s="53">
        <v>0.92569444444444438</v>
      </c>
      <c r="D127" s="54">
        <v>10.75</v>
      </c>
      <c r="E127" s="55" t="s">
        <v>1</v>
      </c>
      <c r="F127" s="55">
        <v>11</v>
      </c>
      <c r="G127" s="56" t="s">
        <v>58</v>
      </c>
      <c r="H127" s="57" t="s">
        <v>77</v>
      </c>
      <c r="I127" s="56" t="s">
        <v>55</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97</v>
      </c>
      <c r="B128" s="52" t="s">
        <v>114</v>
      </c>
      <c r="C128" s="53">
        <v>0.92708333333333337</v>
      </c>
      <c r="D128" s="54">
        <v>10.875</v>
      </c>
      <c r="E128" s="55" t="s">
        <v>1</v>
      </c>
      <c r="F128" s="55">
        <v>11</v>
      </c>
      <c r="G128" s="56" t="s">
        <v>58</v>
      </c>
      <c r="H128" s="57" t="s">
        <v>77</v>
      </c>
      <c r="I128" s="56" t="s">
        <v>56</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110</v>
      </c>
      <c r="B129" s="52" t="s">
        <v>114</v>
      </c>
      <c r="C129" s="55" t="s">
        <v>84</v>
      </c>
      <c r="D129" s="54">
        <v>11.25</v>
      </c>
      <c r="E129" s="55" t="s">
        <v>1</v>
      </c>
      <c r="F129" s="55">
        <v>11</v>
      </c>
      <c r="G129" s="56" t="s">
        <v>58</v>
      </c>
      <c r="H129" s="57" t="s">
        <v>77</v>
      </c>
      <c r="I129" s="56" t="s">
        <v>57</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78</v>
      </c>
      <c r="B130" s="52" t="s">
        <v>114</v>
      </c>
      <c r="C130" s="53">
        <v>0.92361111111111116</v>
      </c>
      <c r="D130" s="54">
        <v>10.833333333333334</v>
      </c>
      <c r="E130" s="55" t="s">
        <v>1</v>
      </c>
      <c r="F130" s="55">
        <v>11</v>
      </c>
      <c r="G130" s="56" t="s">
        <v>58</v>
      </c>
      <c r="H130" s="57" t="s">
        <v>77</v>
      </c>
      <c r="I130" s="56" t="s">
        <v>59</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113</v>
      </c>
      <c r="B131" s="52" t="s">
        <v>114</v>
      </c>
      <c r="C131" s="55" t="s">
        <v>84</v>
      </c>
      <c r="D131" s="54">
        <v>10.958333333333334</v>
      </c>
      <c r="E131" s="55" t="s">
        <v>1</v>
      </c>
      <c r="F131" s="55">
        <v>11</v>
      </c>
      <c r="G131" s="56" t="s">
        <v>58</v>
      </c>
      <c r="H131" s="57" t="s">
        <v>77</v>
      </c>
      <c r="I131" s="56" t="s">
        <v>116</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103</v>
      </c>
      <c r="B132" s="52" t="s">
        <v>114</v>
      </c>
      <c r="C132" s="53">
        <v>0.73611111111111116</v>
      </c>
      <c r="D132" s="54">
        <v>10.666666666666666</v>
      </c>
      <c r="E132" s="55" t="s">
        <v>1</v>
      </c>
      <c r="F132" s="55">
        <v>11</v>
      </c>
      <c r="G132" s="56" t="s">
        <v>58</v>
      </c>
      <c r="H132" s="57" t="s">
        <v>77</v>
      </c>
      <c r="I132" s="56" t="s">
        <v>60</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162</v>
      </c>
      <c r="B133" s="52" t="s">
        <v>114</v>
      </c>
      <c r="C133" s="53">
        <v>0.92569444444444438</v>
      </c>
      <c r="D133" s="54">
        <v>11.208333333333334</v>
      </c>
      <c r="E133" s="55" t="s">
        <v>1</v>
      </c>
      <c r="F133" s="55">
        <v>11</v>
      </c>
      <c r="G133" s="56" t="s">
        <v>58</v>
      </c>
      <c r="H133" s="57" t="s">
        <v>77</v>
      </c>
      <c r="I133" s="56" t="s">
        <v>115</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101</v>
      </c>
      <c r="B134" s="52" t="s">
        <v>114</v>
      </c>
      <c r="C134" s="53">
        <v>0.56458333333333333</v>
      </c>
      <c r="D134" s="54">
        <v>10.75</v>
      </c>
      <c r="E134" s="55" t="s">
        <v>1</v>
      </c>
      <c r="F134" s="55">
        <v>11</v>
      </c>
      <c r="G134" s="56" t="s">
        <v>58</v>
      </c>
      <c r="H134" s="57" t="s">
        <v>77</v>
      </c>
      <c r="I134" s="56" t="s">
        <v>61</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113</v>
      </c>
      <c r="B135" s="52" t="s">
        <v>114</v>
      </c>
      <c r="C135" s="53">
        <v>0.83888888888888891</v>
      </c>
      <c r="D135" s="54">
        <v>10.541666666666666</v>
      </c>
      <c r="E135" s="55" t="s">
        <v>1</v>
      </c>
      <c r="F135" s="55">
        <v>11</v>
      </c>
      <c r="G135" s="56" t="s">
        <v>59</v>
      </c>
      <c r="H135" s="57" t="s">
        <v>77</v>
      </c>
      <c r="I135" s="31" t="s">
        <v>54</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112</v>
      </c>
      <c r="B136" s="52" t="s">
        <v>114</v>
      </c>
      <c r="C136" s="55" t="s">
        <v>84</v>
      </c>
      <c r="D136" s="54">
        <v>10.666666666666666</v>
      </c>
      <c r="E136" s="55" t="s">
        <v>1</v>
      </c>
      <c r="F136" s="55">
        <v>11</v>
      </c>
      <c r="G136" s="56" t="s">
        <v>59</v>
      </c>
      <c r="H136" s="57" t="s">
        <v>77</v>
      </c>
      <c r="I136" s="56" t="s">
        <v>55</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140</v>
      </c>
      <c r="B137" s="52" t="s">
        <v>114</v>
      </c>
      <c r="C137" s="53">
        <v>0.83958333333333324</v>
      </c>
      <c r="D137" s="54">
        <v>10.541666666666666</v>
      </c>
      <c r="E137" s="55" t="s">
        <v>1</v>
      </c>
      <c r="F137" s="55">
        <v>11</v>
      </c>
      <c r="G137" s="56" t="s">
        <v>59</v>
      </c>
      <c r="H137" s="57" t="s">
        <v>77</v>
      </c>
      <c r="I137" s="56" t="s">
        <v>56</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102</v>
      </c>
      <c r="B138" s="52" t="s">
        <v>114</v>
      </c>
      <c r="C138" s="55" t="s">
        <v>84</v>
      </c>
      <c r="D138" s="54">
        <v>10.708333333333334</v>
      </c>
      <c r="E138" s="55" t="s">
        <v>1</v>
      </c>
      <c r="F138" s="55">
        <v>11</v>
      </c>
      <c r="G138" s="56" t="s">
        <v>59</v>
      </c>
      <c r="H138" s="57" t="s">
        <v>77</v>
      </c>
      <c r="I138" s="56" t="s">
        <v>57</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104</v>
      </c>
      <c r="B139" s="52" t="s">
        <v>114</v>
      </c>
      <c r="C139" s="55" t="s">
        <v>84</v>
      </c>
      <c r="D139" s="54">
        <v>10.875</v>
      </c>
      <c r="E139" s="55" t="s">
        <v>1</v>
      </c>
      <c r="F139" s="55">
        <v>11</v>
      </c>
      <c r="G139" s="56" t="s">
        <v>59</v>
      </c>
      <c r="H139" s="57" t="s">
        <v>77</v>
      </c>
      <c r="I139" s="56" t="s">
        <v>58</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119</v>
      </c>
      <c r="B140" s="52" t="s">
        <v>114</v>
      </c>
      <c r="C140" s="55" t="s">
        <v>84</v>
      </c>
      <c r="D140" s="54">
        <v>10.583333333333334</v>
      </c>
      <c r="E140" s="55" t="s">
        <v>1</v>
      </c>
      <c r="F140" s="55">
        <v>11</v>
      </c>
      <c r="G140" s="56" t="s">
        <v>59</v>
      </c>
      <c r="H140" s="57" t="s">
        <v>77</v>
      </c>
      <c r="I140" s="56" t="s">
        <v>116</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143</v>
      </c>
      <c r="B141" s="52" t="s">
        <v>114</v>
      </c>
      <c r="C141" s="53">
        <v>0.83888888888888891</v>
      </c>
      <c r="D141" s="54">
        <v>10.583333333333334</v>
      </c>
      <c r="E141" s="55" t="s">
        <v>1</v>
      </c>
      <c r="F141" s="55">
        <v>11</v>
      </c>
      <c r="G141" s="56" t="s">
        <v>59</v>
      </c>
      <c r="H141" s="57" t="s">
        <v>77</v>
      </c>
      <c r="I141" s="56" t="s">
        <v>60</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130</v>
      </c>
      <c r="B142" s="52" t="s">
        <v>114</v>
      </c>
      <c r="C142" s="55" t="s">
        <v>84</v>
      </c>
      <c r="D142" s="54">
        <v>10.541666666666666</v>
      </c>
      <c r="E142" s="55" t="s">
        <v>1</v>
      </c>
      <c r="F142" s="55">
        <v>11</v>
      </c>
      <c r="G142" s="56" t="s">
        <v>59</v>
      </c>
      <c r="H142" s="57" t="s">
        <v>77</v>
      </c>
      <c r="I142" s="56" t="s">
        <v>115</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110</v>
      </c>
      <c r="B143" s="52" t="s">
        <v>114</v>
      </c>
      <c r="C143" s="55" t="s">
        <v>84</v>
      </c>
      <c r="D143" s="54">
        <v>10.708333333333334</v>
      </c>
      <c r="E143" s="55" t="s">
        <v>1</v>
      </c>
      <c r="F143" s="55">
        <v>11</v>
      </c>
      <c r="G143" s="56" t="s">
        <v>59</v>
      </c>
      <c r="H143" s="57" t="s">
        <v>77</v>
      </c>
      <c r="I143" s="56" t="s">
        <v>61</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99</v>
      </c>
      <c r="B144" s="52" t="s">
        <v>114</v>
      </c>
      <c r="C144" s="53">
        <v>0.95277777777777783</v>
      </c>
      <c r="D144" s="54">
        <v>10.541666666666666</v>
      </c>
      <c r="E144" s="55" t="s">
        <v>1</v>
      </c>
      <c r="F144" s="55">
        <v>11</v>
      </c>
      <c r="G144" s="56" t="s">
        <v>116</v>
      </c>
      <c r="H144" s="57" t="s">
        <v>77</v>
      </c>
      <c r="I144" s="31" t="s">
        <v>54</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82</v>
      </c>
      <c r="B145" s="52" t="s">
        <v>114</v>
      </c>
      <c r="C145" s="53">
        <v>0.95138888888888884</v>
      </c>
      <c r="D145" s="54">
        <v>10.525</v>
      </c>
      <c r="E145" s="55" t="s">
        <v>1</v>
      </c>
      <c r="F145" s="55">
        <v>11</v>
      </c>
      <c r="G145" s="56" t="s">
        <v>116</v>
      </c>
      <c r="H145" s="57" t="s">
        <v>77</v>
      </c>
      <c r="I145" s="56" t="s">
        <v>55</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95</v>
      </c>
      <c r="B146" s="52" t="s">
        <v>114</v>
      </c>
      <c r="C146" s="53">
        <v>0.95763888888888893</v>
      </c>
      <c r="D146" s="54">
        <v>11</v>
      </c>
      <c r="E146" s="55" t="s">
        <v>1</v>
      </c>
      <c r="F146" s="55">
        <v>11</v>
      </c>
      <c r="G146" s="56" t="s">
        <v>116</v>
      </c>
      <c r="H146" s="57" t="s">
        <v>77</v>
      </c>
      <c r="I146" s="56" t="s">
        <v>56</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88</v>
      </c>
      <c r="B147" s="52" t="s">
        <v>114</v>
      </c>
      <c r="C147" s="55" t="s">
        <v>84</v>
      </c>
      <c r="D147" s="54">
        <v>10.666666666666666</v>
      </c>
      <c r="E147" s="55" t="s">
        <v>1</v>
      </c>
      <c r="F147" s="55">
        <v>11</v>
      </c>
      <c r="G147" s="56" t="s">
        <v>116</v>
      </c>
      <c r="H147" s="57" t="s">
        <v>77</v>
      </c>
      <c r="I147" s="56" t="s">
        <v>57</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118</v>
      </c>
      <c r="B148" s="52" t="s">
        <v>114</v>
      </c>
      <c r="C148" s="53">
        <v>0.95624999999999993</v>
      </c>
      <c r="D148" s="54">
        <v>10.916666666666666</v>
      </c>
      <c r="E148" s="55" t="s">
        <v>1</v>
      </c>
      <c r="F148" s="55">
        <v>11</v>
      </c>
      <c r="G148" s="56" t="s">
        <v>116</v>
      </c>
      <c r="H148" s="57" t="s">
        <v>77</v>
      </c>
      <c r="I148" s="56" t="s">
        <v>58</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85</v>
      </c>
      <c r="B149" s="52" t="s">
        <v>114</v>
      </c>
      <c r="C149" s="53">
        <v>0.95208333333333339</v>
      </c>
      <c r="D149" s="54">
        <v>10.583333333333334</v>
      </c>
      <c r="E149" s="55" t="s">
        <v>1</v>
      </c>
      <c r="F149" s="55">
        <v>11</v>
      </c>
      <c r="G149" s="56" t="s">
        <v>116</v>
      </c>
      <c r="H149" s="57" t="s">
        <v>77</v>
      </c>
      <c r="I149" s="56" t="s">
        <v>59</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113</v>
      </c>
      <c r="B150" s="52" t="s">
        <v>114</v>
      </c>
      <c r="C150" s="53">
        <v>0.95486111111111116</v>
      </c>
      <c r="D150" s="54">
        <v>10.708333333333334</v>
      </c>
      <c r="E150" s="55" t="s">
        <v>1</v>
      </c>
      <c r="F150" s="55">
        <v>11</v>
      </c>
      <c r="G150" s="56" t="s">
        <v>116</v>
      </c>
      <c r="H150" s="57" t="s">
        <v>77</v>
      </c>
      <c r="I150" s="56" t="s">
        <v>60</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160</v>
      </c>
      <c r="B151" s="52" t="s">
        <v>114</v>
      </c>
      <c r="C151" s="55" t="s">
        <v>84</v>
      </c>
      <c r="D151" s="54">
        <v>10.75</v>
      </c>
      <c r="E151" s="55" t="s">
        <v>1</v>
      </c>
      <c r="F151" s="55">
        <v>11</v>
      </c>
      <c r="G151" s="56" t="s">
        <v>116</v>
      </c>
      <c r="H151" s="57" t="s">
        <v>77</v>
      </c>
      <c r="I151" s="56" t="s">
        <v>115</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80</v>
      </c>
      <c r="B152" s="52" t="s">
        <v>114</v>
      </c>
      <c r="C152" s="53">
        <v>0.95416666666666661</v>
      </c>
      <c r="D152" s="54">
        <v>10.708333333333334</v>
      </c>
      <c r="E152" s="55" t="s">
        <v>1</v>
      </c>
      <c r="F152" s="55">
        <v>11</v>
      </c>
      <c r="G152" s="56" t="s">
        <v>116</v>
      </c>
      <c r="H152" s="57" t="s">
        <v>77</v>
      </c>
      <c r="I152" s="56" t="s">
        <v>61</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104</v>
      </c>
      <c r="B153" s="52" t="s">
        <v>114</v>
      </c>
      <c r="C153" s="53">
        <v>0.68888888888888899</v>
      </c>
      <c r="D153" s="54">
        <v>10.583333333333334</v>
      </c>
      <c r="E153" s="55" t="s">
        <v>1</v>
      </c>
      <c r="F153" s="55">
        <v>11</v>
      </c>
      <c r="G153" s="56" t="s">
        <v>60</v>
      </c>
      <c r="H153" s="57" t="s">
        <v>77</v>
      </c>
      <c r="I153" s="31" t="s">
        <v>54</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80</v>
      </c>
      <c r="B154" s="52" t="s">
        <v>114</v>
      </c>
      <c r="C154" s="55" t="s">
        <v>84</v>
      </c>
      <c r="D154" s="54">
        <v>10.625</v>
      </c>
      <c r="E154" s="55" t="s">
        <v>1</v>
      </c>
      <c r="F154" s="55">
        <v>11</v>
      </c>
      <c r="G154" s="56" t="s">
        <v>60</v>
      </c>
      <c r="H154" s="57" t="s">
        <v>77</v>
      </c>
      <c r="I154" s="56" t="s">
        <v>55</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103</v>
      </c>
      <c r="B155" s="52" t="s">
        <v>114</v>
      </c>
      <c r="C155" s="55" t="s">
        <v>84</v>
      </c>
      <c r="D155" s="54">
        <v>10.583333333333334</v>
      </c>
      <c r="E155" s="55" t="s">
        <v>1</v>
      </c>
      <c r="F155" s="55">
        <v>11</v>
      </c>
      <c r="G155" s="56" t="s">
        <v>60</v>
      </c>
      <c r="H155" s="57" t="s">
        <v>77</v>
      </c>
      <c r="I155" s="56" t="s">
        <v>56</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87</v>
      </c>
      <c r="B156" s="52" t="s">
        <v>114</v>
      </c>
      <c r="C156" s="55" t="s">
        <v>84</v>
      </c>
      <c r="D156" s="54">
        <v>10.916666666666666</v>
      </c>
      <c r="E156" s="55" t="s">
        <v>1</v>
      </c>
      <c r="F156" s="55">
        <v>11</v>
      </c>
      <c r="G156" s="56" t="s">
        <v>60</v>
      </c>
      <c r="H156" s="57" t="s">
        <v>77</v>
      </c>
      <c r="I156" s="56" t="s">
        <v>57</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85</v>
      </c>
      <c r="B157" s="52" t="s">
        <v>114</v>
      </c>
      <c r="C157" s="55" t="s">
        <v>84</v>
      </c>
      <c r="D157" s="54">
        <v>10.875</v>
      </c>
      <c r="E157" s="55" t="s">
        <v>1</v>
      </c>
      <c r="F157" s="55">
        <v>11</v>
      </c>
      <c r="G157" s="56" t="s">
        <v>60</v>
      </c>
      <c r="H157" s="57" t="s">
        <v>77</v>
      </c>
      <c r="I157" s="56" t="s">
        <v>58</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98</v>
      </c>
      <c r="B158" s="52" t="s">
        <v>114</v>
      </c>
      <c r="C158" s="55" t="s">
        <v>84</v>
      </c>
      <c r="D158" s="54">
        <v>10.666666666666666</v>
      </c>
      <c r="E158" s="55" t="s">
        <v>1</v>
      </c>
      <c r="F158" s="55">
        <v>11</v>
      </c>
      <c r="G158" s="56" t="s">
        <v>60</v>
      </c>
      <c r="H158" s="57" t="s">
        <v>77</v>
      </c>
      <c r="I158" s="56" t="s">
        <v>59</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102</v>
      </c>
      <c r="B159" s="52" t="s">
        <v>114</v>
      </c>
      <c r="C159" s="55" t="s">
        <v>84</v>
      </c>
      <c r="D159" s="54">
        <v>10.75</v>
      </c>
      <c r="E159" s="55" t="s">
        <v>1</v>
      </c>
      <c r="F159" s="55">
        <v>11</v>
      </c>
      <c r="G159" s="56" t="s">
        <v>60</v>
      </c>
      <c r="H159" s="57" t="s">
        <v>77</v>
      </c>
      <c r="I159" s="56" t="s">
        <v>116</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161</v>
      </c>
      <c r="B160" s="52" t="s">
        <v>114</v>
      </c>
      <c r="C160" s="55" t="s">
        <v>84</v>
      </c>
      <c r="D160" s="54">
        <v>10.875</v>
      </c>
      <c r="E160" s="55" t="s">
        <v>1</v>
      </c>
      <c r="F160" s="55">
        <v>11</v>
      </c>
      <c r="G160" s="56" t="s">
        <v>60</v>
      </c>
      <c r="H160" s="57" t="s">
        <v>77</v>
      </c>
      <c r="I160" s="56" t="s">
        <v>115</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109</v>
      </c>
      <c r="B161" s="52" t="s">
        <v>114</v>
      </c>
      <c r="C161" s="55" t="s">
        <v>84</v>
      </c>
      <c r="D161" s="54">
        <v>10.708333333333334</v>
      </c>
      <c r="E161" s="55" t="s">
        <v>1</v>
      </c>
      <c r="F161" s="55">
        <v>11</v>
      </c>
      <c r="G161" s="56" t="s">
        <v>60</v>
      </c>
      <c r="H161" s="57" t="s">
        <v>77</v>
      </c>
      <c r="I161" s="56" t="s">
        <v>61</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100</v>
      </c>
      <c r="B162" s="52" t="s">
        <v>114</v>
      </c>
      <c r="C162" s="53">
        <v>0.8618055555555556</v>
      </c>
      <c r="D162" s="54">
        <v>10.666666666666666</v>
      </c>
      <c r="E162" s="55" t="s">
        <v>1</v>
      </c>
      <c r="F162" s="55">
        <v>11</v>
      </c>
      <c r="G162" s="56" t="s">
        <v>115</v>
      </c>
      <c r="H162" s="57" t="s">
        <v>77</v>
      </c>
      <c r="I162" s="31" t="s">
        <v>54</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99</v>
      </c>
      <c r="B163" s="52" t="s">
        <v>114</v>
      </c>
      <c r="C163" s="53">
        <v>0.92083333333333339</v>
      </c>
      <c r="D163" s="54">
        <v>10.5</v>
      </c>
      <c r="E163" s="55" t="s">
        <v>1</v>
      </c>
      <c r="F163" s="55">
        <v>11</v>
      </c>
      <c r="G163" s="56" t="s">
        <v>115</v>
      </c>
      <c r="H163" s="57" t="s">
        <v>77</v>
      </c>
      <c r="I163" s="56" t="s">
        <v>55</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94</v>
      </c>
      <c r="B164" s="52" t="s">
        <v>114</v>
      </c>
      <c r="C164" s="53">
        <v>0.86111111111111116</v>
      </c>
      <c r="D164" s="54">
        <v>10.625</v>
      </c>
      <c r="E164" s="55" t="s">
        <v>1</v>
      </c>
      <c r="F164" s="55">
        <v>11</v>
      </c>
      <c r="G164" s="56" t="s">
        <v>115</v>
      </c>
      <c r="H164" s="57" t="s">
        <v>77</v>
      </c>
      <c r="I164" s="56" t="s">
        <v>56</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92</v>
      </c>
      <c r="B165" s="52" t="s">
        <v>114</v>
      </c>
      <c r="C165" s="55" t="s">
        <v>84</v>
      </c>
      <c r="D165" s="54">
        <v>10.791666666666666</v>
      </c>
      <c r="E165" s="55" t="s">
        <v>1</v>
      </c>
      <c r="F165" s="55">
        <v>11</v>
      </c>
      <c r="G165" s="56" t="s">
        <v>115</v>
      </c>
      <c r="H165" s="57" t="s">
        <v>77</v>
      </c>
      <c r="I165" s="56" t="s">
        <v>57</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79</v>
      </c>
      <c r="B166" s="52" t="s">
        <v>114</v>
      </c>
      <c r="C166" s="53">
        <v>0.94444444444444453</v>
      </c>
      <c r="D166" s="54">
        <v>11.083333333333334</v>
      </c>
      <c r="E166" s="55" t="s">
        <v>1</v>
      </c>
      <c r="F166" s="55">
        <v>11</v>
      </c>
      <c r="G166" s="56" t="s">
        <v>115</v>
      </c>
      <c r="H166" s="57" t="s">
        <v>77</v>
      </c>
      <c r="I166" s="56" t="s">
        <v>58</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86</v>
      </c>
      <c r="B167" s="52" t="s">
        <v>114</v>
      </c>
      <c r="C167" s="53">
        <v>0.91666666666666663</v>
      </c>
      <c r="D167" s="54">
        <v>10.583333333333334</v>
      </c>
      <c r="E167" s="55" t="s">
        <v>1</v>
      </c>
      <c r="F167" s="55">
        <v>11</v>
      </c>
      <c r="G167" s="56" t="s">
        <v>115</v>
      </c>
      <c r="H167" s="57" t="s">
        <v>77</v>
      </c>
      <c r="I167" s="56" t="s">
        <v>59</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107</v>
      </c>
      <c r="B168" s="52" t="s">
        <v>114</v>
      </c>
      <c r="C168" s="53">
        <v>0.97361111111111109</v>
      </c>
      <c r="D168" s="54">
        <v>10.708333333333334</v>
      </c>
      <c r="E168" s="55" t="s">
        <v>1</v>
      </c>
      <c r="F168" s="55">
        <v>11</v>
      </c>
      <c r="G168" s="56" t="s">
        <v>115</v>
      </c>
      <c r="H168" s="57" t="s">
        <v>77</v>
      </c>
      <c r="I168" s="56" t="s">
        <v>116</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119</v>
      </c>
      <c r="B169" s="52" t="s">
        <v>114</v>
      </c>
      <c r="C169" s="53">
        <v>0.86388888888888893</v>
      </c>
      <c r="D169" s="54">
        <v>10.833333333333334</v>
      </c>
      <c r="E169" s="55" t="s">
        <v>1</v>
      </c>
      <c r="F169" s="55">
        <v>11</v>
      </c>
      <c r="G169" s="56" t="s">
        <v>115</v>
      </c>
      <c r="H169" s="57" t="s">
        <v>77</v>
      </c>
      <c r="I169" s="56" t="s">
        <v>60</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89</v>
      </c>
      <c r="B170" s="52" t="s">
        <v>114</v>
      </c>
      <c r="C170" s="53">
        <v>0.97361111111111109</v>
      </c>
      <c r="D170" s="54">
        <v>10.708333333333334</v>
      </c>
      <c r="E170" s="55" t="s">
        <v>1</v>
      </c>
      <c r="F170" s="55">
        <v>11</v>
      </c>
      <c r="G170" s="56" t="s">
        <v>115</v>
      </c>
      <c r="H170" s="57" t="s">
        <v>77</v>
      </c>
      <c r="I170" s="56" t="s">
        <v>61</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81</v>
      </c>
      <c r="B171" s="52" t="s">
        <v>114</v>
      </c>
      <c r="C171" s="53">
        <v>0.95000000000000007</v>
      </c>
      <c r="D171" s="54">
        <v>10.583333333333334</v>
      </c>
      <c r="E171" s="55" t="s">
        <v>1</v>
      </c>
      <c r="F171" s="55">
        <v>11</v>
      </c>
      <c r="G171" s="56" t="s">
        <v>61</v>
      </c>
      <c r="H171" s="57" t="s">
        <v>77</v>
      </c>
      <c r="I171" s="31" t="s">
        <v>54</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81</v>
      </c>
      <c r="B172" s="52" t="s">
        <v>114</v>
      </c>
      <c r="C172" s="55" t="s">
        <v>84</v>
      </c>
      <c r="D172" s="54">
        <v>10.541666666666666</v>
      </c>
      <c r="E172" s="55" t="s">
        <v>1</v>
      </c>
      <c r="F172" s="55">
        <v>11</v>
      </c>
      <c r="G172" s="56" t="s">
        <v>61</v>
      </c>
      <c r="H172" s="57" t="s">
        <v>77</v>
      </c>
      <c r="I172" s="56" t="s">
        <v>55</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111</v>
      </c>
      <c r="B173" s="52" t="s">
        <v>114</v>
      </c>
      <c r="C173" s="55" t="s">
        <v>84</v>
      </c>
      <c r="D173" s="54">
        <v>10.708333333333334</v>
      </c>
      <c r="E173" s="55" t="s">
        <v>1</v>
      </c>
      <c r="F173" s="55">
        <v>11</v>
      </c>
      <c r="G173" s="56" t="s">
        <v>61</v>
      </c>
      <c r="H173" s="57" t="s">
        <v>77</v>
      </c>
      <c r="I173" s="56" t="s">
        <v>56</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89</v>
      </c>
      <c r="B174" s="52" t="s">
        <v>114</v>
      </c>
      <c r="C174" s="55" t="s">
        <v>84</v>
      </c>
      <c r="D174" s="54">
        <v>10.625</v>
      </c>
      <c r="E174" s="55" t="s">
        <v>1</v>
      </c>
      <c r="F174" s="55">
        <v>11</v>
      </c>
      <c r="G174" s="56" t="s">
        <v>61</v>
      </c>
      <c r="H174" s="57" t="s">
        <v>77</v>
      </c>
      <c r="I174" s="56" t="s">
        <v>57</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117</v>
      </c>
      <c r="B175" s="52" t="s">
        <v>114</v>
      </c>
      <c r="C175" s="55" t="s">
        <v>84</v>
      </c>
      <c r="D175" s="54">
        <v>10.833333333333334</v>
      </c>
      <c r="E175" s="55" t="s">
        <v>1</v>
      </c>
      <c r="F175" s="55">
        <v>11</v>
      </c>
      <c r="G175" s="56" t="s">
        <v>61</v>
      </c>
      <c r="H175" s="57" t="s">
        <v>77</v>
      </c>
      <c r="I175" s="56" t="s">
        <v>58</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118</v>
      </c>
      <c r="B176" s="52" t="s">
        <v>114</v>
      </c>
      <c r="C176" s="53">
        <v>0.95416666666666661</v>
      </c>
      <c r="D176" s="54">
        <v>10.75</v>
      </c>
      <c r="E176" s="55" t="s">
        <v>1</v>
      </c>
      <c r="F176" s="55">
        <v>11</v>
      </c>
      <c r="G176" s="56" t="s">
        <v>61</v>
      </c>
      <c r="H176" s="57" t="s">
        <v>77</v>
      </c>
      <c r="I176" s="56" t="s">
        <v>59</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101</v>
      </c>
      <c r="B177" s="52" t="s">
        <v>114</v>
      </c>
      <c r="C177" s="55" t="s">
        <v>84</v>
      </c>
      <c r="D177" s="54">
        <v>10.75</v>
      </c>
      <c r="E177" s="55" t="s">
        <v>1</v>
      </c>
      <c r="F177" s="55">
        <v>11</v>
      </c>
      <c r="G177" s="56" t="s">
        <v>61</v>
      </c>
      <c r="H177" s="57" t="s">
        <v>77</v>
      </c>
      <c r="I177" s="56" t="s">
        <v>116</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102</v>
      </c>
      <c r="B178" s="52" t="s">
        <v>114</v>
      </c>
      <c r="C178" s="53">
        <v>0.9506944444444444</v>
      </c>
      <c r="D178" s="54">
        <v>10.708333333333334</v>
      </c>
      <c r="E178" s="55" t="s">
        <v>1</v>
      </c>
      <c r="F178" s="55">
        <v>11</v>
      </c>
      <c r="G178" s="56" t="s">
        <v>61</v>
      </c>
      <c r="H178" s="57" t="s">
        <v>77</v>
      </c>
      <c r="I178" s="56" t="s">
        <v>60</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152</v>
      </c>
      <c r="B179" s="52" t="s">
        <v>114</v>
      </c>
      <c r="C179" s="55" t="s">
        <v>84</v>
      </c>
      <c r="D179" s="54">
        <v>10.708333333333334</v>
      </c>
      <c r="E179" s="55" t="s">
        <v>1</v>
      </c>
      <c r="F179" s="55">
        <v>11</v>
      </c>
      <c r="G179" s="56" t="s">
        <v>61</v>
      </c>
      <c r="H179" s="57" t="s">
        <v>77</v>
      </c>
      <c r="I179" s="56" t="s">
        <v>115</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93</v>
      </c>
      <c r="B180" s="57" t="s">
        <v>136</v>
      </c>
      <c r="C180" s="53">
        <v>0.79652777777777783</v>
      </c>
      <c r="D180" s="54">
        <v>9.1666666666666661</v>
      </c>
      <c r="E180" s="58">
        <v>45413</v>
      </c>
      <c r="F180" s="55">
        <v>5</v>
      </c>
      <c r="G180" s="56" t="s">
        <v>137</v>
      </c>
      <c r="H180" s="57" t="s">
        <v>77</v>
      </c>
      <c r="I180" s="56" t="s">
        <v>56</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96</v>
      </c>
      <c r="B181" s="57" t="s">
        <v>134</v>
      </c>
      <c r="C181" s="55" t="s">
        <v>84</v>
      </c>
      <c r="D181" s="54">
        <v>11.25</v>
      </c>
      <c r="E181" s="58">
        <v>45383</v>
      </c>
      <c r="F181" s="55">
        <v>7</v>
      </c>
      <c r="G181" s="56" t="s">
        <v>135</v>
      </c>
      <c r="H181" s="57" t="s">
        <v>77</v>
      </c>
      <c r="I181" s="56" t="s">
        <v>56</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113</v>
      </c>
      <c r="B182" s="57" t="s">
        <v>153</v>
      </c>
      <c r="C182" s="55" t="s">
        <v>84</v>
      </c>
      <c r="D182" s="54">
        <v>14.629166666666668</v>
      </c>
      <c r="E182" s="58">
        <v>45384</v>
      </c>
      <c r="F182" s="55">
        <v>15</v>
      </c>
      <c r="G182" s="56" t="s">
        <v>154</v>
      </c>
      <c r="H182" s="57" t="s">
        <v>77</v>
      </c>
      <c r="I182" s="56" t="s">
        <v>57</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90</v>
      </c>
      <c r="B183" s="57" t="s">
        <v>155</v>
      </c>
      <c r="C183" s="55" t="s">
        <v>84</v>
      </c>
      <c r="D183" s="54">
        <v>10.541666666666666</v>
      </c>
      <c r="E183" s="58">
        <v>45383</v>
      </c>
      <c r="F183" s="55">
        <v>15</v>
      </c>
      <c r="G183" s="56" t="s">
        <v>156</v>
      </c>
      <c r="H183" s="57" t="s">
        <v>77</v>
      </c>
      <c r="I183" s="56" t="s">
        <v>116</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94</v>
      </c>
      <c r="B184" s="57" t="s">
        <v>157</v>
      </c>
      <c r="C184" s="55" t="s">
        <v>84</v>
      </c>
      <c r="D184" s="54">
        <v>10.583333333333334</v>
      </c>
      <c r="E184" s="58">
        <v>45444</v>
      </c>
      <c r="F184" s="55">
        <v>21</v>
      </c>
      <c r="G184" s="56" t="s">
        <v>156</v>
      </c>
      <c r="H184" s="57" t="s">
        <v>77</v>
      </c>
      <c r="I184" s="56" t="s">
        <v>116</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119</v>
      </c>
      <c r="B185" s="57" t="s">
        <v>138</v>
      </c>
      <c r="C185" s="55" t="s">
        <v>84</v>
      </c>
      <c r="D185" s="54">
        <v>19.583333333333332</v>
      </c>
      <c r="E185" s="58">
        <v>45416</v>
      </c>
      <c r="F185" s="55">
        <v>3</v>
      </c>
      <c r="G185" s="56" t="s">
        <v>139</v>
      </c>
      <c r="H185" s="57" t="s">
        <v>77</v>
      </c>
      <c r="I185" s="56" t="s">
        <v>56</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132</v>
      </c>
      <c r="B186" s="57" t="s">
        <v>163</v>
      </c>
      <c r="C186" s="55" t="s">
        <v>84</v>
      </c>
      <c r="D186" s="54">
        <v>18.916666666666668</v>
      </c>
      <c r="E186" s="58">
        <v>45445</v>
      </c>
      <c r="F186" s="55">
        <v>3</v>
      </c>
      <c r="G186" s="56" t="s">
        <v>164</v>
      </c>
      <c r="H186" s="57" t="s">
        <v>77</v>
      </c>
      <c r="I186" s="56" t="s">
        <v>115</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140</v>
      </c>
      <c r="B187" s="57" t="s">
        <v>158</v>
      </c>
      <c r="C187" s="54">
        <v>1.8923611111111109</v>
      </c>
      <c r="D187" s="54">
        <v>10.416666666666666</v>
      </c>
      <c r="E187" s="58">
        <v>45447</v>
      </c>
      <c r="F187" s="55">
        <v>5</v>
      </c>
      <c r="G187" s="56" t="s">
        <v>159</v>
      </c>
      <c r="H187" s="57" t="s">
        <v>77</v>
      </c>
      <c r="I187" s="56" t="s">
        <v>60</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149</v>
      </c>
      <c r="B188" s="57" t="s">
        <v>150</v>
      </c>
      <c r="C188" s="54">
        <v>2.8520833333333333</v>
      </c>
      <c r="D188" s="54">
        <v>10.416666666666666</v>
      </c>
      <c r="E188" s="58">
        <v>45415</v>
      </c>
      <c r="F188" s="55">
        <v>5</v>
      </c>
      <c r="G188" s="56" t="s">
        <v>151</v>
      </c>
      <c r="H188" s="57" t="s">
        <v>77</v>
      </c>
      <c r="I188" s="56" t="s">
        <v>56</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55</v>
      </c>
      <c r="C1" s="51" t="s">
        <v>181</v>
      </c>
      <c r="D1" s="51" t="s">
        <v>56</v>
      </c>
      <c r="E1" s="51" t="s">
        <v>166</v>
      </c>
      <c r="F1" s="51" t="s">
        <v>167</v>
      </c>
      <c r="G1" s="51" t="s">
        <v>58</v>
      </c>
      <c r="H1" s="51" t="s">
        <v>59</v>
      </c>
      <c r="I1" s="51" t="s">
        <v>182</v>
      </c>
      <c r="J1" s="51" t="s">
        <v>168</v>
      </c>
      <c r="K1" s="51" t="s">
        <v>61</v>
      </c>
    </row>
    <row r="2" spans="1:11" x14ac:dyDescent="0.35">
      <c r="A2" s="51" t="s">
        <v>55</v>
      </c>
      <c r="B2" s="51" t="s">
        <v>24</v>
      </c>
      <c r="C2" s="68">
        <v>0.46388888888888891</v>
      </c>
      <c r="D2" s="68">
        <v>0.38124999999999998</v>
      </c>
      <c r="E2" s="68">
        <v>0.46180555555555558</v>
      </c>
      <c r="F2" s="68">
        <v>0.46458333333333335</v>
      </c>
      <c r="G2" s="68">
        <v>7.6388888888888886E-3</v>
      </c>
      <c r="H2" s="68">
        <v>9.0972222222222218E-2</v>
      </c>
      <c r="I2" s="68">
        <v>4.9305555555555554E-2</v>
      </c>
      <c r="J2" s="68">
        <v>0.25763888888888886</v>
      </c>
      <c r="K2" s="68">
        <v>0.29930555555555555</v>
      </c>
    </row>
    <row r="3" spans="1:11" x14ac:dyDescent="0.35">
      <c r="A3" s="51" t="s">
        <v>181</v>
      </c>
      <c r="B3" s="68">
        <v>0.42430555555555555</v>
      </c>
      <c r="C3" s="51" t="s">
        <v>24</v>
      </c>
      <c r="D3" s="68">
        <v>0.46319444444444446</v>
      </c>
      <c r="E3" s="68">
        <v>0.46111111111111114</v>
      </c>
      <c r="F3" s="68">
        <v>9.0972222222222218E-2</v>
      </c>
      <c r="G3" s="68">
        <v>9.0972222222222218E-2</v>
      </c>
      <c r="H3" s="68">
        <v>9.0972222222222218E-2</v>
      </c>
      <c r="I3" s="68">
        <v>0.46250000000000002</v>
      </c>
      <c r="J3" s="68">
        <v>0.46458333333333335</v>
      </c>
      <c r="K3" s="68">
        <v>0.25763888888888886</v>
      </c>
    </row>
    <row r="4" spans="1:11" x14ac:dyDescent="0.35">
      <c r="A4" s="51" t="s">
        <v>56</v>
      </c>
      <c r="B4" s="68">
        <v>0.25416666666666665</v>
      </c>
      <c r="C4" s="68">
        <v>0.38055555555555554</v>
      </c>
      <c r="D4" s="51" t="s">
        <v>24</v>
      </c>
      <c r="E4" s="68">
        <v>0.29930555555555555</v>
      </c>
      <c r="F4" s="68">
        <v>0.46388888888888891</v>
      </c>
      <c r="G4" s="68">
        <v>0.46250000000000002</v>
      </c>
      <c r="H4" s="68">
        <v>9.0972222222222218E-2</v>
      </c>
      <c r="I4" s="68">
        <v>0.42430555555555555</v>
      </c>
      <c r="J4" s="68">
        <v>0.13263888888888889</v>
      </c>
      <c r="K4" s="68">
        <v>0.29930555555555555</v>
      </c>
    </row>
    <row r="5" spans="1:11" x14ac:dyDescent="0.35">
      <c r="A5" s="51" t="s">
        <v>166</v>
      </c>
      <c r="B5" s="68">
        <v>0.46250000000000002</v>
      </c>
      <c r="C5" s="68">
        <v>0.45902777777777776</v>
      </c>
      <c r="D5" s="68">
        <v>0.46388888888888891</v>
      </c>
      <c r="E5" s="51" t="s">
        <v>24</v>
      </c>
      <c r="F5" s="68">
        <v>0.25763888888888886</v>
      </c>
      <c r="G5" s="68">
        <v>0.46250000000000002</v>
      </c>
      <c r="H5" s="68">
        <v>0.25763888888888886</v>
      </c>
      <c r="I5" s="68">
        <v>0.34097222222222223</v>
      </c>
      <c r="J5" s="68">
        <v>0.42430555555555555</v>
      </c>
      <c r="K5" s="68">
        <v>0.46458333333333335</v>
      </c>
    </row>
    <row r="6" spans="1:11" x14ac:dyDescent="0.35">
      <c r="A6" s="51" t="s">
        <v>167</v>
      </c>
      <c r="B6" s="68">
        <v>0.13263888888888889</v>
      </c>
      <c r="C6" s="68">
        <v>0.13263888888888889</v>
      </c>
      <c r="D6" s="68">
        <v>0.13263888888888889</v>
      </c>
      <c r="E6" s="68">
        <v>0.45833333333333331</v>
      </c>
      <c r="F6" s="51" t="s">
        <v>24</v>
      </c>
      <c r="G6" s="68">
        <v>7.6388888888888886E-3</v>
      </c>
      <c r="H6" s="68">
        <v>0.38263888888888886</v>
      </c>
      <c r="I6" s="68">
        <v>7.6388888888888886E-3</v>
      </c>
      <c r="J6" s="68">
        <v>0.29930555555555555</v>
      </c>
      <c r="K6" s="68">
        <v>0.21597222222222223</v>
      </c>
    </row>
    <row r="7" spans="1:11" x14ac:dyDescent="0.35">
      <c r="A7" s="51" t="s">
        <v>58</v>
      </c>
      <c r="B7" s="68">
        <v>0.17430555555555555</v>
      </c>
      <c r="C7" s="68">
        <v>0.46527777777777779</v>
      </c>
      <c r="D7" s="68">
        <v>0.4597222222222222</v>
      </c>
      <c r="E7" s="68">
        <v>0.46041666666666664</v>
      </c>
      <c r="F7" s="68">
        <v>4.9305555555555554E-2</v>
      </c>
      <c r="G7" s="51" t="s">
        <v>24</v>
      </c>
      <c r="H7" s="68">
        <v>0.13263888888888889</v>
      </c>
      <c r="I7" s="68">
        <v>0.42430555555555555</v>
      </c>
      <c r="J7" s="68">
        <v>0.46527777777777779</v>
      </c>
      <c r="K7" s="68">
        <v>0.38263888888888886</v>
      </c>
    </row>
    <row r="8" spans="1:11" x14ac:dyDescent="0.35">
      <c r="A8" s="51" t="s">
        <v>59</v>
      </c>
      <c r="B8" s="68">
        <v>0.13263888888888889</v>
      </c>
      <c r="C8" s="68">
        <v>0.17430555555555555</v>
      </c>
      <c r="D8" s="68">
        <v>0.4597222222222222</v>
      </c>
      <c r="E8" s="68">
        <v>0.46458333333333335</v>
      </c>
      <c r="F8" s="68">
        <v>0.42430555555555555</v>
      </c>
      <c r="G8" s="68">
        <v>0.46458333333333335</v>
      </c>
      <c r="H8" s="51" t="s">
        <v>24</v>
      </c>
      <c r="I8" s="68">
        <v>0.46458333333333335</v>
      </c>
      <c r="J8" s="68">
        <v>0.13263888888888889</v>
      </c>
      <c r="K8" s="68">
        <v>0.46527777777777779</v>
      </c>
    </row>
    <row r="9" spans="1:11" x14ac:dyDescent="0.35">
      <c r="A9" s="51" t="s">
        <v>182</v>
      </c>
      <c r="B9" s="68">
        <v>0.46319444444444446</v>
      </c>
      <c r="C9" s="68">
        <v>0.46458333333333335</v>
      </c>
      <c r="D9" s="68">
        <v>0.25694444444444442</v>
      </c>
      <c r="E9" s="68">
        <v>0.46111111111111114</v>
      </c>
      <c r="F9" s="68">
        <v>0.46319444444444446</v>
      </c>
      <c r="G9" s="68">
        <v>0.46388888888888891</v>
      </c>
      <c r="H9" s="68">
        <v>9.0972222222222218E-2</v>
      </c>
      <c r="I9" s="51" t="s">
        <v>24</v>
      </c>
      <c r="J9" s="68">
        <v>0.46527777777777779</v>
      </c>
      <c r="K9" s="68">
        <v>0.46319444444444446</v>
      </c>
    </row>
    <row r="10" spans="1:11" x14ac:dyDescent="0.35">
      <c r="A10" s="51" t="s">
        <v>168</v>
      </c>
      <c r="B10" s="68">
        <v>0.13263888888888889</v>
      </c>
      <c r="C10" s="68">
        <v>0.46180555555555558</v>
      </c>
      <c r="D10" s="68">
        <v>0.46111111111111114</v>
      </c>
      <c r="E10" s="68">
        <v>0.46319444444444446</v>
      </c>
      <c r="F10" s="68">
        <v>0.46388888888888891</v>
      </c>
      <c r="G10" s="68">
        <v>0.13263888888888889</v>
      </c>
      <c r="H10" s="68">
        <v>0.13263888888888889</v>
      </c>
      <c r="I10" s="68">
        <v>0.29930555555555555</v>
      </c>
      <c r="J10" s="51" t="s">
        <v>24</v>
      </c>
      <c r="K10" s="68">
        <v>0.46458333333333335</v>
      </c>
    </row>
    <row r="11" spans="1:11" x14ac:dyDescent="0.35">
      <c r="A11" s="51" t="s">
        <v>61</v>
      </c>
      <c r="B11" s="68">
        <v>0.34097222222222223</v>
      </c>
      <c r="C11" s="68">
        <v>0.46250000000000002</v>
      </c>
      <c r="D11" s="68">
        <v>0.38263888888888886</v>
      </c>
      <c r="E11" s="68">
        <v>0.42430555555555555</v>
      </c>
      <c r="F11" s="68">
        <v>0.46388888888888891</v>
      </c>
      <c r="G11" s="68">
        <v>0.38263888888888886</v>
      </c>
      <c r="H11" s="68">
        <v>4.9305555555555554E-2</v>
      </c>
      <c r="I11" s="68">
        <v>0.46250000000000002</v>
      </c>
      <c r="J11" s="68">
        <v>0.46388888888888891</v>
      </c>
      <c r="K11" s="51" t="s">
        <v>24</v>
      </c>
    </row>
    <row r="12" spans="1:11" x14ac:dyDescent="0.35">
      <c r="A12" t="s">
        <v>249</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7" customWidth="1"/>
    <col min="2" max="2" width="7.36328125" style="67" bestFit="1" customWidth="1"/>
    <col min="3" max="3" width="4.54296875" style="67" bestFit="1" customWidth="1"/>
    <col min="4" max="4" width="4" style="67" bestFit="1" customWidth="1"/>
    <col min="5" max="5" width="6.453125" style="67" bestFit="1" customWidth="1"/>
    <col min="6" max="6" width="10.36328125" style="67" bestFit="1" customWidth="1"/>
    <col min="7" max="7" width="4" style="67" bestFit="1" customWidth="1"/>
    <col min="8" max="8" width="4.90625" style="67" bestFit="1" customWidth="1"/>
    <col min="9" max="9" width="14.6328125" style="67" bestFit="1" customWidth="1"/>
    <col min="10" max="10" width="4" style="67" bestFit="1" customWidth="1"/>
    <col min="11" max="11" width="4.90625" style="67" bestFit="1" customWidth="1"/>
    <col min="12" max="16384" width="30.08984375" style="67"/>
  </cols>
  <sheetData>
    <row r="1" spans="1:11" x14ac:dyDescent="0.35">
      <c r="F1" s="67" t="s">
        <v>15</v>
      </c>
      <c r="I1" s="67" t="s">
        <v>12</v>
      </c>
    </row>
    <row r="2" spans="1:11" x14ac:dyDescent="0.35">
      <c r="B2" s="67" t="s">
        <v>7</v>
      </c>
      <c r="C2" s="67" t="s">
        <v>11</v>
      </c>
      <c r="D2" s="67" t="s">
        <v>10</v>
      </c>
      <c r="E2" s="67" t="s">
        <v>179</v>
      </c>
      <c r="F2" s="67" t="s">
        <v>0</v>
      </c>
      <c r="G2" s="67" t="s">
        <v>1</v>
      </c>
      <c r="H2" s="67" t="s">
        <v>8</v>
      </c>
      <c r="I2" s="67" t="s">
        <v>0</v>
      </c>
      <c r="J2" s="67" t="s">
        <v>1</v>
      </c>
      <c r="K2" s="67" t="s">
        <v>8</v>
      </c>
    </row>
    <row r="3" spans="1:11" x14ac:dyDescent="0.35">
      <c r="A3" s="67" t="s">
        <v>59</v>
      </c>
      <c r="B3" s="67" t="s">
        <v>205</v>
      </c>
      <c r="C3" s="67" t="s">
        <v>206</v>
      </c>
      <c r="D3" s="67" t="s">
        <v>190</v>
      </c>
      <c r="E3" s="67" t="s">
        <v>207</v>
      </c>
      <c r="F3" s="67" t="s">
        <v>208</v>
      </c>
      <c r="G3" s="67" t="s">
        <v>198</v>
      </c>
      <c r="H3" s="67" t="s">
        <v>209</v>
      </c>
      <c r="I3" s="67" t="s">
        <v>208</v>
      </c>
      <c r="J3" s="67" t="s">
        <v>198</v>
      </c>
      <c r="K3" s="67" t="s">
        <v>209</v>
      </c>
    </row>
    <row r="4" spans="1:11" x14ac:dyDescent="0.35">
      <c r="A4" s="67" t="s">
        <v>182</v>
      </c>
      <c r="B4" s="67" t="s">
        <v>201</v>
      </c>
      <c r="C4" s="25" t="s">
        <v>217</v>
      </c>
      <c r="D4" s="67" t="s">
        <v>190</v>
      </c>
      <c r="E4" s="67" t="s">
        <v>233</v>
      </c>
      <c r="F4" s="25" t="s">
        <v>234</v>
      </c>
      <c r="G4" s="25" t="s">
        <v>235</v>
      </c>
      <c r="H4" s="67" t="s">
        <v>227</v>
      </c>
      <c r="I4" s="25" t="s">
        <v>225</v>
      </c>
      <c r="J4" s="25" t="s">
        <v>214</v>
      </c>
      <c r="K4" s="25" t="s">
        <v>236</v>
      </c>
    </row>
    <row r="5" spans="1:11" x14ac:dyDescent="0.35">
      <c r="A5" s="67" t="s">
        <v>168</v>
      </c>
      <c r="B5" s="67" t="s">
        <v>205</v>
      </c>
      <c r="C5" s="67" t="s">
        <v>195</v>
      </c>
      <c r="D5" s="67" t="s">
        <v>194</v>
      </c>
      <c r="E5" s="67" t="s">
        <v>216</v>
      </c>
      <c r="F5" s="67" t="s">
        <v>202</v>
      </c>
      <c r="G5" s="67" t="s">
        <v>212</v>
      </c>
      <c r="H5" s="67" t="s">
        <v>217</v>
      </c>
      <c r="I5" s="67" t="s">
        <v>202</v>
      </c>
      <c r="J5" s="67" t="s">
        <v>212</v>
      </c>
      <c r="K5" s="67" t="s">
        <v>217</v>
      </c>
    </row>
    <row r="6" spans="1:11" x14ac:dyDescent="0.35">
      <c r="A6" s="67" t="s">
        <v>58</v>
      </c>
      <c r="B6" s="67" t="s">
        <v>205</v>
      </c>
      <c r="C6" s="67" t="s">
        <v>199</v>
      </c>
      <c r="D6" s="67" t="s">
        <v>199</v>
      </c>
      <c r="E6" s="67" t="s">
        <v>193</v>
      </c>
      <c r="F6" s="67" t="s">
        <v>203</v>
      </c>
      <c r="G6" s="67" t="s">
        <v>210</v>
      </c>
      <c r="H6" s="67" t="s">
        <v>211</v>
      </c>
      <c r="I6" s="67" t="s">
        <v>203</v>
      </c>
      <c r="J6" s="67" t="s">
        <v>210</v>
      </c>
      <c r="K6" s="67" t="s">
        <v>211</v>
      </c>
    </row>
    <row r="7" spans="1:11" x14ac:dyDescent="0.35">
      <c r="A7" s="67" t="s">
        <v>61</v>
      </c>
      <c r="B7" s="67" t="s">
        <v>205</v>
      </c>
      <c r="C7" s="67" t="s">
        <v>199</v>
      </c>
      <c r="D7" s="25" t="s">
        <v>199</v>
      </c>
      <c r="E7" s="67" t="s">
        <v>193</v>
      </c>
      <c r="F7" s="67" t="s">
        <v>218</v>
      </c>
      <c r="G7" s="25" t="s">
        <v>230</v>
      </c>
      <c r="H7" s="25" t="s">
        <v>195</v>
      </c>
      <c r="I7" s="25" t="s">
        <v>218</v>
      </c>
      <c r="J7" s="25" t="s">
        <v>230</v>
      </c>
      <c r="K7" s="25" t="s">
        <v>195</v>
      </c>
    </row>
    <row r="8" spans="1:11" x14ac:dyDescent="0.35">
      <c r="A8" s="67" t="s">
        <v>55</v>
      </c>
      <c r="B8" s="67" t="s">
        <v>196</v>
      </c>
      <c r="C8" s="67" t="s">
        <v>199</v>
      </c>
      <c r="D8" s="67" t="s">
        <v>197</v>
      </c>
      <c r="E8" s="67" t="s">
        <v>216</v>
      </c>
      <c r="F8" s="67" t="s">
        <v>228</v>
      </c>
      <c r="G8" s="25" t="s">
        <v>237</v>
      </c>
      <c r="H8" s="25" t="s">
        <v>204</v>
      </c>
      <c r="I8" s="67" t="s">
        <v>220</v>
      </c>
      <c r="J8" s="67" t="s">
        <v>213</v>
      </c>
      <c r="K8" s="67" t="s">
        <v>204</v>
      </c>
    </row>
    <row r="9" spans="1:11" x14ac:dyDescent="0.35">
      <c r="A9" s="67" t="s">
        <v>166</v>
      </c>
      <c r="B9" s="67" t="s">
        <v>205</v>
      </c>
      <c r="C9" s="25" t="s">
        <v>197</v>
      </c>
      <c r="D9" s="67" t="s">
        <v>200</v>
      </c>
      <c r="E9" s="67" t="s">
        <v>238</v>
      </c>
      <c r="F9" s="25" t="s">
        <v>215</v>
      </c>
      <c r="G9" s="25" t="s">
        <v>239</v>
      </c>
      <c r="H9" s="67" t="s">
        <v>229</v>
      </c>
      <c r="I9" s="25" t="s">
        <v>215</v>
      </c>
      <c r="J9" s="25" t="s">
        <v>239</v>
      </c>
      <c r="K9" s="25" t="s">
        <v>229</v>
      </c>
    </row>
    <row r="10" spans="1:11" x14ac:dyDescent="0.35">
      <c r="A10" s="67" t="s">
        <v>181</v>
      </c>
      <c r="B10" s="67" t="s">
        <v>201</v>
      </c>
      <c r="C10" s="67" t="s">
        <v>191</v>
      </c>
      <c r="D10" s="67" t="s">
        <v>200</v>
      </c>
      <c r="E10" s="67" t="s">
        <v>221</v>
      </c>
      <c r="F10" s="25" t="s">
        <v>240</v>
      </c>
      <c r="G10" s="25" t="s">
        <v>202</v>
      </c>
      <c r="H10" s="25" t="s">
        <v>241</v>
      </c>
      <c r="I10" s="67" t="s">
        <v>222</v>
      </c>
      <c r="J10" s="67" t="s">
        <v>223</v>
      </c>
      <c r="K10" s="67" t="s">
        <v>224</v>
      </c>
    </row>
    <row r="11" spans="1:11" x14ac:dyDescent="0.35">
      <c r="A11" s="67" t="s">
        <v>167</v>
      </c>
      <c r="B11" s="67" t="s">
        <v>205</v>
      </c>
      <c r="C11" s="67" t="s">
        <v>192</v>
      </c>
      <c r="D11" s="67" t="s">
        <v>217</v>
      </c>
      <c r="E11" s="67" t="s">
        <v>231</v>
      </c>
      <c r="F11" s="67" t="s">
        <v>232</v>
      </c>
      <c r="G11" s="67" t="s">
        <v>219</v>
      </c>
      <c r="H11" s="67" t="s">
        <v>226</v>
      </c>
      <c r="I11" s="67" t="s">
        <v>232</v>
      </c>
      <c r="J11" s="67" t="s">
        <v>219</v>
      </c>
      <c r="K11" s="67" t="s">
        <v>226</v>
      </c>
    </row>
    <row r="12" spans="1:11" x14ac:dyDescent="0.35">
      <c r="A12" s="67" t="s">
        <v>56</v>
      </c>
      <c r="B12" s="67" t="s">
        <v>242</v>
      </c>
      <c r="C12" s="25" t="s">
        <v>190</v>
      </c>
      <c r="D12" s="25" t="s">
        <v>195</v>
      </c>
      <c r="E12" s="67" t="s">
        <v>243</v>
      </c>
      <c r="F12" s="25" t="s">
        <v>213</v>
      </c>
      <c r="G12" s="25" t="s">
        <v>244</v>
      </c>
      <c r="H12" s="25" t="s">
        <v>245</v>
      </c>
      <c r="I12" s="25" t="s">
        <v>246</v>
      </c>
      <c r="J12" s="25" t="s">
        <v>247</v>
      </c>
      <c r="K12" s="25" t="s">
        <v>248</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API</v>
      </c>
      <c r="B2" s="6">
        <v>0.45</v>
      </c>
      <c r="C2">
        <v>0</v>
      </c>
      <c r="D2">
        <v>0</v>
      </c>
      <c r="E2">
        <v>18</v>
      </c>
      <c r="F2">
        <v>9</v>
      </c>
      <c r="G2">
        <f>F2/E2</f>
        <v>0.5</v>
      </c>
      <c r="H2">
        <f>ROUND(F2,0)</f>
        <v>9</v>
      </c>
      <c r="I2">
        <f>E2-H2</f>
        <v>9</v>
      </c>
      <c r="J2">
        <f>C2+H2</f>
        <v>9</v>
      </c>
      <c r="K2">
        <f>D2+I2</f>
        <v>9</v>
      </c>
      <c r="L2">
        <f>C2+D2+H2+I2</f>
        <v>18</v>
      </c>
    </row>
    <row r="3" spans="1:12" x14ac:dyDescent="0.35">
      <c r="A3" t="str">
        <f>Player2</f>
        <v>hcc1670</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JJ Rio</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Mattias Roos</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noundog</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phinneas</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Rasp</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Susanni</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Willie Wonka</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t="str">
        <f>Player10</f>
        <v>Zenswang</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1a</v>
      </c>
      <c r="B3" s="36" t="str">
        <f>$A4</f>
        <v>API</v>
      </c>
      <c r="C3" s="36" t="str">
        <f>$A5</f>
        <v>hcc1670</v>
      </c>
      <c r="D3" s="36" t="str">
        <f>$A6</f>
        <v>JJ Rio</v>
      </c>
      <c r="E3" s="36" t="str">
        <f>$A7</f>
        <v>Mattias Roos</v>
      </c>
      <c r="F3" s="36" t="str">
        <f>$A8</f>
        <v>noundog</v>
      </c>
      <c r="G3" s="36" t="str">
        <f>$A9</f>
        <v>phinneas</v>
      </c>
      <c r="H3" s="36" t="str">
        <f>$A10</f>
        <v>Rasp</v>
      </c>
      <c r="I3" s="36" t="str">
        <f>$A11</f>
        <v>Susanni</v>
      </c>
      <c r="J3" s="36" t="str">
        <f>$A12</f>
        <v>Willie Wonka</v>
      </c>
      <c r="K3" s="37" t="str">
        <f>$A13</f>
        <v>Zenswang</v>
      </c>
      <c r="L3" s="1"/>
    </row>
    <row r="4" spans="1:12" x14ac:dyDescent="0.35">
      <c r="A4" s="33" t="str">
        <f>IF(Player1="","",Player1)</f>
        <v>API</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f>IF(-1=getMatchWinProbability($A4,Matches!T4,K$3,Matches!U4),"",getMatchWinProbability($A4,Matches!T4,K$3,Matches!U4))</f>
        <v>0.5</v>
      </c>
      <c r="L4" s="35">
        <f>SUM(B4:K4)/9</f>
        <v>0.5</v>
      </c>
    </row>
    <row r="5" spans="1:12" x14ac:dyDescent="0.35">
      <c r="A5" s="33" t="str">
        <f>IF(Player2="","",Player2)</f>
        <v>hcc1670</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f>IF(-1=getMatchWinProbability($A5,Matches!T5,K$3,Matches!U5),"",getMatchWinProbability($A5,Matches!T5,K$3,Matches!U5))</f>
        <v>0.5</v>
      </c>
      <c r="L5" s="35">
        <f t="shared" ref="L5:L13" si="0">SUM(B5:K5)/9</f>
        <v>0.5</v>
      </c>
    </row>
    <row r="6" spans="1:12" x14ac:dyDescent="0.35">
      <c r="A6" s="33" t="str">
        <f>IF(Player3="","",Player3)</f>
        <v>JJ Rio</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f>IF(-1=getMatchWinProbability($A6,Matches!T6,K$3,Matches!U6),"",getMatchWinProbability($A6,Matches!T6,K$3,Matches!U6))</f>
        <v>0.5</v>
      </c>
      <c r="L6" s="35">
        <f t="shared" si="0"/>
        <v>0.5</v>
      </c>
    </row>
    <row r="7" spans="1:12" x14ac:dyDescent="0.35">
      <c r="A7" s="33" t="str">
        <f>IF(Player4="","",Player4)</f>
        <v>Mattias Roos</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f>IF(-1=getMatchWinProbability($A7,Matches!T7,K$3,Matches!U7),"",getMatchWinProbability($A7,Matches!T7,K$3,Matches!U7))</f>
        <v>0.5</v>
      </c>
      <c r="L7" s="35">
        <f t="shared" si="0"/>
        <v>0.5</v>
      </c>
    </row>
    <row r="8" spans="1:12" x14ac:dyDescent="0.35">
      <c r="A8" s="33" t="str">
        <f>IF(Player5="","",Player5)</f>
        <v>noundog</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f>IF(-1=getMatchWinProbability($A8,Matches!T8,K$3,Matches!U8),"",getMatchWinProbability($A8,Matches!T8,K$3,Matches!U8))</f>
        <v>0.5</v>
      </c>
      <c r="L8" s="35">
        <f t="shared" si="0"/>
        <v>0.5</v>
      </c>
    </row>
    <row r="9" spans="1:12" x14ac:dyDescent="0.35">
      <c r="A9" s="33" t="str">
        <f>IF(Player6="","",Player6)</f>
        <v>phinneas</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f>IF(-1=getMatchWinProbability($A9,Matches!T9,K$3,Matches!U9),"",getMatchWinProbability($A9,Matches!T9,K$3,Matches!U9))</f>
        <v>0.5</v>
      </c>
      <c r="L9" s="35">
        <f t="shared" si="0"/>
        <v>0.5</v>
      </c>
    </row>
    <row r="10" spans="1:12" x14ac:dyDescent="0.35">
      <c r="A10" s="33" t="str">
        <f>IF(Player7="","",Player7)</f>
        <v>Rasp</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f>IF(-1=getMatchWinProbability($A10,Matches!T10,K$3,Matches!U10),"",getMatchWinProbability($A10,Matches!T10,K$3,Matches!U10))</f>
        <v>0.5</v>
      </c>
      <c r="L10" s="35">
        <f t="shared" si="0"/>
        <v>0.5</v>
      </c>
    </row>
    <row r="11" spans="1:12" x14ac:dyDescent="0.35">
      <c r="A11" s="33" t="str">
        <f>IF(Player8="","",Player8)</f>
        <v>Susanni</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f>IF(-1=getMatchWinProbability($A11,Matches!T11,K$3,Matches!U11),"",getMatchWinProbability($A11,Matches!T11,K$3,Matches!U11))</f>
        <v>0.5</v>
      </c>
      <c r="L11" s="35">
        <f t="shared" si="0"/>
        <v>0.5</v>
      </c>
    </row>
    <row r="12" spans="1:12" x14ac:dyDescent="0.35">
      <c r="A12" s="33" t="str">
        <f>IF(Player9="","",Player9)</f>
        <v>Willie Wonka</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f>IF(-1=getMatchWinProbability($A12,Matches!T12,K$3,Matches!U12),"",getMatchWinProbability($A12,Matches!T12,K$3,Matches!U12))</f>
        <v>0.5</v>
      </c>
      <c r="L12" s="35">
        <f t="shared" si="0"/>
        <v>0.5</v>
      </c>
    </row>
    <row r="13" spans="1:12" x14ac:dyDescent="0.35">
      <c r="A13" s="34" t="str">
        <f>IF(Player10="","",Player10)</f>
        <v>Zenswang</v>
      </c>
      <c r="B13" s="40">
        <f>IF(-1=getMatchWinProbability($A13,Matches!B13,B$3,Matches!C13),"",getMatchWinProbability($A13,Matches!B13,B$3,Matches!C13))</f>
        <v>0.5</v>
      </c>
      <c r="C13" s="40">
        <f>IF(-1=getMatchWinProbability($A13,Matches!D13,C$3,Matches!E13),"",getMatchWinProbability($A13,Matches!D13,C$3,Matches!E13))</f>
        <v>0.5</v>
      </c>
      <c r="D13" s="40">
        <f>IF(-1=getMatchWinProbability($A13,Matches!F13,D$3,Matches!G13),"",getMatchWinProbability($A13,Matches!F13,D$3,Matches!G13))</f>
        <v>0.5</v>
      </c>
      <c r="E13" s="40">
        <f>IF(-1=getMatchWinProbability($A13,Matches!H13,E$3,Matches!I13),"",getMatchWinProbability($A13,Matches!H13,E$3,Matches!I13))</f>
        <v>0.5</v>
      </c>
      <c r="F13" s="40">
        <f>IF(-1=getMatchWinProbability($A13,Matches!J13,F$3,Matches!K13),"",getMatchWinProbability($A13,Matches!J13,F$3,Matches!K13))</f>
        <v>0.5</v>
      </c>
      <c r="G13" s="40">
        <f>IF(-1=getMatchWinProbability($A13,Matches!L13,G$3,Matches!M13),"",getMatchWinProbability($A13,Matches!L13,G$3,Matches!M13))</f>
        <v>0.5</v>
      </c>
      <c r="H13" s="40">
        <f>IF(-1=getMatchWinProbability($A13,Matches!N13,H$3,Matches!O13),"",getMatchWinProbability($A13,Matches!N13,H$3,Matches!O13))</f>
        <v>0.5</v>
      </c>
      <c r="I13" s="40">
        <f>IF(-1=getMatchWinProbability($A13,Matches!P13,I$3,Matches!Q13),"",getMatchWinProbability($A13,Matches!P13,I$3,Matches!Q13))</f>
        <v>0.5</v>
      </c>
      <c r="J13" s="40">
        <f>IF(-1=getMatchWinProbability($A13,Matches!R13,J$3,Matches!S13),"",getMatchWinProbability($A13,Matches!R13,J$3,Matches!S13))</f>
        <v>0.5</v>
      </c>
      <c r="K13" s="41" t="str">
        <f>IF(-1=getMatchWinProbability($A13,Matches!T13,K$3,Matches!U13),"",getMatchWinProbability($A13,Matches!T13,K$3,Matches!U13))</f>
        <v/>
      </c>
      <c r="L13" s="35">
        <f t="shared" si="0"/>
        <v>0.5</v>
      </c>
    </row>
    <row r="14" spans="1:12" x14ac:dyDescent="0.35">
      <c r="A14" s="33"/>
      <c r="B14" s="8">
        <f>SUM(B4:B13)/9</f>
        <v>0.5</v>
      </c>
      <c r="C14" s="8">
        <f t="shared" ref="C14:K14" si="1">SUM(C4:C13)/9</f>
        <v>0.5</v>
      </c>
      <c r="D14" s="8">
        <f t="shared" si="1"/>
        <v>0.5</v>
      </c>
      <c r="E14" s="8">
        <f t="shared" si="1"/>
        <v>0.5</v>
      </c>
      <c r="F14" s="8">
        <f t="shared" si="1"/>
        <v>0.5</v>
      </c>
      <c r="G14" s="8">
        <f t="shared" si="1"/>
        <v>0.5</v>
      </c>
      <c r="H14" s="8">
        <f t="shared" si="1"/>
        <v>0.5</v>
      </c>
      <c r="I14" s="8">
        <f t="shared" si="1"/>
        <v>0.5</v>
      </c>
      <c r="J14" s="8">
        <f t="shared" si="1"/>
        <v>0.5</v>
      </c>
      <c r="K14" s="8">
        <f t="shared" si="1"/>
        <v>0.5</v>
      </c>
    </row>
    <row r="15" spans="1:12" x14ac:dyDescent="0.35">
      <c r="A15" s="33"/>
      <c r="B15" s="8">
        <f>(B14+L4)/2</f>
        <v>0.5</v>
      </c>
      <c r="C15" s="8">
        <f>(C14+L5)/2</f>
        <v>0.5</v>
      </c>
      <c r="D15" s="8">
        <f>(D14+L6)/2</f>
        <v>0.5</v>
      </c>
      <c r="E15" s="8">
        <f>(E14+L7)/2</f>
        <v>0.5</v>
      </c>
      <c r="F15" s="8">
        <f>(F14+L8)/2</f>
        <v>0.5</v>
      </c>
      <c r="G15" s="8">
        <f>(G14+L9)/2</f>
        <v>0.5</v>
      </c>
      <c r="H15" s="8">
        <f>(H14+L10)/2</f>
        <v>0.5</v>
      </c>
      <c r="I15" s="8">
        <f>(I14+L11)/2</f>
        <v>0.5</v>
      </c>
      <c r="J15" s="8">
        <f>(J14+L12)/2</f>
        <v>0.5</v>
      </c>
      <c r="K15" s="8">
        <f>(K14+L13)/2</f>
        <v>0.5</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2025-08-06T09:34:04Z</dcterms:modified>
</cp:coreProperties>
</file>
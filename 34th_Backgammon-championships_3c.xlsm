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65705772-C039-40FA-BE47-BEA7C5F0E8A8}"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<sst xmlns="http://schemas.openxmlformats.org/spreadsheetml/2006/main" count="1761" uniqueCount="260">
  <si>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</si>
  <si>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</si>
  <si>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</si>
  <si>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</si>
  <si>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</si>
  <si>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</si>
  <si>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</si>
  <si>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</si>
  <si>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</si>
  <si>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</si>
  <si>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</si>
  <si>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</si>
  <si>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</si>
  <si>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</si>
  <si>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</si>
  <si>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</si>
  <si>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</si>
  <si>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</si>
  <si>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</si>
  <si>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</si>
  <si>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</si>
  <si>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</si>
  <si>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</si>
  <si>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</si>
  <si>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</si>
  <si>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</si>
  <si>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</si>
  <si>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</si>
  <si>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</si>
  <si>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</si>
  <si>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</si>
  <si>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</si>
  <si>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</si>
  <si>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</si>
  <si>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</si>
  <si>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</si>
  <si>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</si>
  <si>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</si>
  <si>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</si>
  <si>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</si>
  <si>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</si>
  <si>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</si>
  <si>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</si>
  <si>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</si>
  <si>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</si>
  <si>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</si>
  <si>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</si>
  <si>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</si>
  <si>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</si>
  <si>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</si>
  <si>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</si>
  <si>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</si>
  <si>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</si>
  <si>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</si>
  <si>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</si>
  <si>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</si>
  <si>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</si>
  <si>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</si>
  <si>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</si>
  <si>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</si>
  <si>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</si>
  <si>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</si>
  <si>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</si>
  <si>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</si>
  <si>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</si>
  <si>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</si>
  <si>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</si>
  <si>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</si>
  <si>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</si>
  <si>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</si>
  <si>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</si>
  <si>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</si>
  <si>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</si>
  <si>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</si>
  <si>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</si>
  <si>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</si>
  <si>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</si>
  <si>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</si>
  <si>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</si>
  <si>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</si>
  <si>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</si>
  <si>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</si>
  <si>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</si>
  <si>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</si>
  <si>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</si>
  <si>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</si>
  <si>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</si>
  <si>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</si>
  <si>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</si>
  <si>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</si>
  <si>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</si>
  <si>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</si>
  <si>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</si>
  <si>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</si>
  <si>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</si>
  <si>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</si>
  <si>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</si>
  <si>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</si>
  <si>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</si>
  <si>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</si>
  <si>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</si>
  <si>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</si>
  <si>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</si>
  <si>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</si>
  <si>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</si>
  <si>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</si>
  <si>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</si>
  <si>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</si>
  <si>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</si>
  <si>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</si>
  <si>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</si>
  <si>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</si>
  <si>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</si>
  <si>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</si>
  <si>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</si>
  <si>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</si>
  <si>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</si>
  <si>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</si>
  <si>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</si>
  <si>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</si>
  <si>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</si>
  <si>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</si>
  <si>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</si>
  <si>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</si>
  <si>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</si>
  <si>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</si>
  <si>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</si>
  <si>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</si>
  <si>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</si>
  <si>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</si>
  <si>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</si>
  <si>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</si>
  <si>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</si>
  <si>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</si>
  <si>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</si>
  <si>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</si>
  <si>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</si>
  <si>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</si>
  <si>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</si>
  <si>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</si>
  <si>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</si>
  <si>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</si>
  <si>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</si>
  <si>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</si>
  <si>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</si>
  <si>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</si>
  <si>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</si>
  <si>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</si>
  <si>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</si>
  <si>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</si>
  <si>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</si>
  <si>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</si>
  <si>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</si>
  <si>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</si>
  <si>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</si>
  <si>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</si>
  <si>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</si>
  <si>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</si>
  <si>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</si>
  <si>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</si>
  <si>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</si>
  <si>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</si>
  <si>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</si>
  <si>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</si>
  <si>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</si>
  <si>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</si>
  <si>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</si>
  <si>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</si>
  <si>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</si>
  <si>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</si>
  <si>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</si>
  <si>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</si>
  <si>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</si>
  <si>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</si>
  <si>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</si>
  <si>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</si>
  <si>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</si>
  <si>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</si>
  <si>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</si>
  <si>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</si>
  <si>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</si>
  <si>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</si>
  <si>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</si>
  <si>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</si>
  <si>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</si>
  <si>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</si>
  <si>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</si>
  <si>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</si>
  <si>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</si>
  <si>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</si>
  <si>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</si>
  <si>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</si>
  <si>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</si>
  <si>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</si>
  <si>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</si>
  <si>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</si>
  <si>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</si>
  <si>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</si>
  <si>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</si>
  <si>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</si>
  <si>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</si>
  <si>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</si>
  <si>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</si>
  <si>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</si>
  <si>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</si>
  <si>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</si>
  <si>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</si>
  <si>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</si>
  <si>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</si>
  <si>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</si>
  <si>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</si>
  <si>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</si>
  <si>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</si>
  <si>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</si>
  <si>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</si>
  <si>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</si>
  <si>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</si>
  <si>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</si>
  <si>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</si>
  <si>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</si>
  <si>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</si>
  <si>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</si>
  <si>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</si>
  <si>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</si>
  <si>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</si>
  <si>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</si>
  <si>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</si>
  <si>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</si>
  <si>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</si>
  <si>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</si>
  <si>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</si>
  <si>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</si>
  <si>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</si>
  <si>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</si>
  <si>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</si>
  <si>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</si>
  <si>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</si>
  <si>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</si>
  <si>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</si>
  <si>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</si>
  <si>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</si>
  <si>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</si>
  <si>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</si>
  <si>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</si>
  <si>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</si>
  <si>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</si>
  <si>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</si>
  <si>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</si>
  <si>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</si>
  <si>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3c</t>
  </si>
  <si>
    <t>coloman</t>
  </si>
  <si>
    <t>CovGamSirius</t>
  </si>
  <si>
    <t>EU-BNL-verding</t>
  </si>
  <si>
    <t>Hendry</t>
  </si>
  <si>
    <t>JimO</t>
  </si>
  <si>
    <t>Jordan</t>
  </si>
  <si>
    <t>matte.macchiato</t>
  </si>
  <si>
    <t>ReggiePerrin</t>
  </si>
  <si>
    <t>Steinlaus</t>
  </si>
  <si>
    <t>Turz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</si>
</sst>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9">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xf numFmtId="0" fontId="1" fillId="0" borderId="0" xfId="1" applyFill="1"/>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19359" TargetMode="External"/><Relationship Id="rId3" Type="http://schemas.openxmlformats.org/officeDocument/2006/relationships/hyperlink" Target="http://www.dailygammon.com/bg/user/20696" TargetMode="External"/><Relationship Id="rId7" Type="http://schemas.openxmlformats.org/officeDocument/2006/relationships/hyperlink" Target="http://www.dailygammon.com/bg/user/7477" TargetMode="External"/><Relationship Id="rId2" Type="http://schemas.openxmlformats.org/officeDocument/2006/relationships/hyperlink" Target="http://www.dailygammon.com/bg/user/26299" TargetMode="External"/><Relationship Id="rId1" Type="http://schemas.openxmlformats.org/officeDocument/2006/relationships/hyperlink" Target="http://www.dailygammon.com/bg/user/3719" TargetMode="External"/><Relationship Id="rId6" Type="http://schemas.openxmlformats.org/officeDocument/2006/relationships/hyperlink" Target="http://www.dailygammon.com/bg/user/21821"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21648" TargetMode="External"/><Relationship Id="rId10" Type="http://schemas.openxmlformats.org/officeDocument/2006/relationships/hyperlink" Target="http://www.dailygammon.com/bg/user/21083" TargetMode="External"/><Relationship Id="rId4" Type="http://schemas.openxmlformats.org/officeDocument/2006/relationships/hyperlink" Target="http://www.dailygammon.com/bg/user/18993" TargetMode="External"/><Relationship Id="rId9" Type="http://schemas.openxmlformats.org/officeDocument/2006/relationships/hyperlink" Target="http://www.dailygammon.com/bg/user/1"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98" t="s">
        <v>250</v>
      </c>
      <c r="B2" s="3" t="s">
        <v>14</v>
      </c>
      <c r="D2" s="21"/>
    </row>
    <row r="3" spans="1:4" x14ac:dyDescent="0.35">
      <c r="A3" s="31" t="s">
        <v>251</v>
      </c>
      <c r="D3" s="21"/>
    </row>
    <row r="4" spans="1:4" x14ac:dyDescent="0.35">
      <c r="A4" s="31" t="s">
        <v>252</v>
      </c>
      <c r="D4" s="21"/>
    </row>
    <row r="5" spans="1:4" x14ac:dyDescent="0.35">
      <c r="A5" s="31" t="s">
        <v>253</v>
      </c>
      <c r="D5" s="21"/>
    </row>
    <row r="6" spans="1:4" x14ac:dyDescent="0.35">
      <c r="A6" s="31" t="s">
        <v>254</v>
      </c>
      <c r="D6" s="21"/>
    </row>
    <row r="7" spans="1:4" x14ac:dyDescent="0.35">
      <c r="A7" s="59" t="s">
        <v>255</v>
      </c>
      <c r="D7" s="21"/>
    </row>
    <row r="8" spans="1:4" x14ac:dyDescent="0.35">
      <c r="A8" s="31" t="s">
        <v>256</v>
      </c>
      <c r="D8" s="21"/>
    </row>
    <row r="9" spans="1:4" x14ac:dyDescent="0.35">
      <c r="A9" s="31" t="s">
        <v>257</v>
      </c>
      <c r="D9" s="21"/>
    </row>
    <row r="10" spans="1:4" x14ac:dyDescent="0.35">
      <c r="A10" s="59"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4" r:id="rId1" xr:uid="{1E779DD4-D76A-489B-A375-1A026257E6BA}"/>
    <hyperlink ref="A8" r:id="rId2" xr:uid="{6AD6B644-5B81-4142-9B30-E364CFA15F20}"/>
    <hyperlink ref="A3" r:id="rId3" xr:uid="{5EE4238B-2788-45BD-8475-E97292646CBF}"/>
    <hyperlink ref="A6" r:id="rId4" xr:uid="{28943767-1790-4E81-A3BF-19C03C3DB02A}"/>
    <hyperlink ref="A11" r:id="rId5" xr:uid="{2D0F5DAE-A95F-41B3-890B-1EE9B18B1DF8}"/>
    <hyperlink ref="A2" r:id="rId6" xr:uid="{FCF30999-5CE7-4C96-97D5-E028FAD26B75}"/>
    <hyperlink ref="A5" r:id="rId7" xr:uid="{9204EDEE-211B-4B2B-BE72-4CA9AE1DA56B}"/>
    <hyperlink ref="A9" r:id="rId8" xr:uid="{7EEA1BD5-8904-4ED1-BDCC-A43187D66FC6}"/>
    <hyperlink ref="A7" r:id="rId9" xr:uid="{A4FC37FB-D9A9-4A5B-80D1-7F0CD146AF23}"/>
    <hyperlink ref="A10" r:id="rId10" xr:uid="{2A2FB20A-9151-4EED-8EE1-FEDB54FDECFE}"/>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3c</v>
      </c>
      <c r="B3" s="86" t="str">
        <f>$A4</f>
        <v>coloman</v>
      </c>
      <c r="C3" s="86"/>
      <c r="D3" s="86" t="str">
        <f>$A5</f>
        <v>CovGamSirius</v>
      </c>
      <c r="E3" s="86"/>
      <c r="F3" s="86" t="str">
        <f>$A6</f>
        <v>EU-BNL-verding</v>
      </c>
      <c r="G3" s="86"/>
      <c r="H3" s="86" t="str">
        <f>$A7</f>
        <v>Hendry</v>
      </c>
      <c r="I3" s="86"/>
      <c r="J3" s="86" t="str">
        <f>$A8</f>
        <v>JimO</v>
      </c>
      <c r="K3" s="86"/>
      <c r="L3" s="86" t="str">
        <f>$A9</f>
        <v>Jordan</v>
      </c>
      <c r="M3" s="86"/>
      <c r="N3" s="86" t="str">
        <f>$A10</f>
        <v>matte.macchiato</v>
      </c>
      <c r="O3" s="86"/>
      <c r="P3" s="86" t="str">
        <f>$A11</f>
        <v>ReggiePerrin</v>
      </c>
      <c r="Q3" s="86"/>
      <c r="R3" s="86" t="str">
        <f>$A12</f>
        <v>Steinlaus</v>
      </c>
      <c r="S3" s="86"/>
      <c r="T3" s="86" t="str">
        <f>$A13</f>
        <v>Turz</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coloman</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CovGamSirius</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EU-BNL-verding</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Hendry</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JimO</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Jordan</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matte.macchiato</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ReggiePerrin</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Steinlaus</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Turz</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matte.macchiato</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ReggiePerrin</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coloman</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Steinlaus</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Jordan</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Turz</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CovGamSirius</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Hendry</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JimO</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EU-BNL-verding</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3c</v>
      </c>
      <c r="B1" s="4" t="str">
        <f>$A2</f>
        <v>coloman</v>
      </c>
      <c r="C1" s="4" t="str">
        <f>$A3</f>
        <v>CovGamSirius</v>
      </c>
      <c r="D1" s="4" t="str">
        <f>$A4</f>
        <v>EU-BNL-verding</v>
      </c>
      <c r="E1" s="4" t="str">
        <f>$A5</f>
        <v>Hendry</v>
      </c>
      <c r="F1" s="4" t="str">
        <f>$A6</f>
        <v>JimO</v>
      </c>
      <c r="G1" s="4" t="str">
        <f>$A7</f>
        <v>Jordan</v>
      </c>
      <c r="H1" s="4" t="str">
        <f>A8</f>
        <v>matte.macchiato</v>
      </c>
      <c r="I1" s="4" t="str">
        <f>$A9</f>
        <v>ReggiePerrin</v>
      </c>
      <c r="J1" s="4" t="str">
        <f>$A10</f>
        <v>Steinlaus</v>
      </c>
      <c r="K1" s="5" t="str">
        <f>$A11</f>
        <v>Turz</v>
      </c>
      <c r="M1" s="24" t="s">
        <v>36</v>
      </c>
    </row>
    <row r="2" spans="1:13" x14ac:dyDescent="0.35">
      <c r="A2" s="1" t="str">
        <f>IF(Player1="","",Player1)</f>
        <v>coloman</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"http://dailygammon.com/bg/user/21821?active=1&amp;finished=0&amp;sort_win_loss=0&amp;days_to_view=150" &gt;"3c\3c_coloman_21821.html"</v>
      </c>
    </row>
    <row r="3" spans="1:13" x14ac:dyDescent="0.35">
      <c r="A3" s="1" t="str">
        <f>IF(Player2="","",Player2)</f>
        <v>CovGamSirius</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"http://dailygammon.com/bg/user/20696?active=1&amp;finished=0&amp;sort_win_loss=0&amp;days_to_view=150" &gt;"3c\3c_CovGamSirius_20696.html"</v>
      </c>
    </row>
    <row r="4" spans="1:13" x14ac:dyDescent="0.35">
      <c r="A4" s="1" t="str">
        <f>IF(Player3="","",Player3)</f>
        <v>EU-BNL-verding</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"http://dailygammon.com/bg/user/3719?active=1&amp;finished=0&amp;sort_win_loss=0&amp;days_to_view=150" &gt;"3c\3c_EU-BNL-verding_3719.html"</v>
      </c>
    </row>
    <row r="5" spans="1:13" x14ac:dyDescent="0.35">
      <c r="A5" s="1" t="str">
        <f>IF(Player4="","",Player4)</f>
        <v>Hendry</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"http://dailygammon.com/bg/user/7477?active=1&amp;finished=0&amp;sort_win_loss=0&amp;days_to_view=150" &gt;"3c\3c_Hendry_7477.html"</v>
      </c>
    </row>
    <row r="6" spans="1:13" x14ac:dyDescent="0.35">
      <c r="A6" s="1" t="str">
        <f>IF(Player5="","",Player5)</f>
        <v>JimO</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"http://dailygammon.com/bg/user/18993?active=1&amp;finished=0&amp;sort_win_loss=0&amp;days_to_view=150" &gt;"3c\3c_JimO_18993.html"</v>
      </c>
    </row>
    <row r="7" spans="1:13" x14ac:dyDescent="0.35">
      <c r="A7" s="1" t="str">
        <f>IF(Player6="","",Player6)</f>
        <v>Jordan</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"http://dailygammon.com/bg/user/1?active=1&amp;finished=0&amp;sort_win_loss=0&amp;days_to_view=150" &gt;"3c\3c_Jordan_1.html"</v>
      </c>
    </row>
    <row r="8" spans="1:13" x14ac:dyDescent="0.35">
      <c r="A8" s="1" t="str">
        <f>IF(Player7="","",Player7)</f>
        <v>matte.macchiato</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"http://dailygammon.com/bg/user/26299?active=1&amp;finished=0&amp;sort_win_loss=0&amp;days_to_view=150" &gt;"3c\3c_matte.macchiato_26299.html"</v>
      </c>
    </row>
    <row r="9" spans="1:13" x14ac:dyDescent="0.35">
      <c r="A9" s="1" t="str">
        <f>IF(Player8="","",Player8)</f>
        <v>ReggiePerrin</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"http://dailygammon.com/bg/user/19359?active=1&amp;finished=0&amp;sort_win_loss=0&amp;days_to_view=150" &gt;"3c\3c_ReggiePerrin_19359.html"</v>
      </c>
    </row>
    <row r="10" spans="1:13" x14ac:dyDescent="0.35">
      <c r="A10" s="1" t="str">
        <f>IF(Player9="","",Player9)</f>
        <v>Steinlaus</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"http://dailygammon.com/bg/user/21083?active=1&amp;finished=0&amp;sort_win_loss=0&amp;days_to_view=150" &gt;"3c\3c_Steinlaus_21083.html"</v>
      </c>
    </row>
    <row r="11" spans="1:13" x14ac:dyDescent="0.35">
      <c r="A11" s="2" t="str">
        <f>IF(Player10="","",Player10)</f>
        <v>Turz</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"http://dailygammon.com/bg/user/21648?active=1&amp;finished=0&amp;sort_win_loss=0&amp;days_to_view=150" &gt;"3c\3c_Turz_21648.html"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coloman</v>
      </c>
      <c r="B2" s="6">
        <v>0.45</v>
      </c>
      <c r="C2">
        <v>0</v>
      </c>
      <c r="D2">
        <v>0</v>
      </c>
      <c r="E2">
        <v>18</v>
      </c>
      <c r="F2">
        <v>9</v>
      </c>
      <c r="G2">
        <f>F2/E2</f>
        <v>0.5</v>
      </c>
      <c r="H2">
        <f>ROUND(F2,0)</f>
        <v>9</v>
      </c>
      <c r="I2">
        <f>E2-H2</f>
        <v>9</v>
      </c>
      <c r="J2">
        <f>C2+H2</f>
        <v>9</v>
      </c>
      <c r="K2">
        <f>D2+I2</f>
        <v>9</v>
      </c>
      <c r="L2">
        <f>C2+D2+H2+I2</f>
        <v>18</v>
      </c>
    </row>
    <row r="3" spans="1:12" x14ac:dyDescent="0.35">
      <c r="A3" t="str">
        <f>Player2</f>
        <v>CovGamSirius</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EU-BNL-verding</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Hendry</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JimO</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Jordan</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matte.macchiato</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ReggiePerrin</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Steinlaus</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Turz</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3c</v>
      </c>
      <c r="B3" s="36" t="str">
        <f>$A4</f>
        <v>coloman</v>
      </c>
      <c r="C3" s="36" t="str">
        <f>$A5</f>
        <v>CovGamSirius</v>
      </c>
      <c r="D3" s="36" t="str">
        <f>$A6</f>
        <v>EU-BNL-verding</v>
      </c>
      <c r="E3" s="36" t="str">
        <f>$A7</f>
        <v>Hendry</v>
      </c>
      <c r="F3" s="36" t="str">
        <f>$A8</f>
        <v>JimO</v>
      </c>
      <c r="G3" s="36" t="str">
        <f>$A9</f>
        <v>Jordan</v>
      </c>
      <c r="H3" s="36" t="str">
        <f>$A10</f>
        <v>matte.macchiato</v>
      </c>
      <c r="I3" s="36" t="str">
        <f>$A11</f>
        <v>ReggiePerrin</v>
      </c>
      <c r="J3" s="36" t="str">
        <f>$A12</f>
        <v>Steinlaus</v>
      </c>
      <c r="K3" s="37" t="str">
        <f>$A13</f>
        <v>Turz</v>
      </c>
      <c r="L3" s="1"/>
    </row>
    <row r="4" spans="1:12" x14ac:dyDescent="0.35">
      <c r="A4" s="33" t="str">
        <f>IF(Player1="","",Player1)</f>
        <v>coloman</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CovGamSirius</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EU-BNL-verding</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Hendry</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JimO</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Jordan</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matte.macchiato</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ReggiePerrin</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Steinlaus</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Turz</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2025-08-06T09:39:12Z</dcterms:modified>
</cp:coreProperties>
</file>
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9D0B69CD-0B90-4DA2-8BEF-D4EA7BE56506}"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<sst xmlns="http://schemas.openxmlformats.org/spreadsheetml/2006/main" count="1761" uniqueCount="260">
  <si>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</si>
  <si>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</si>
  <si>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</si>
  <si>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</si>
  <si>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</si>
  <si>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</si>
  <si>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</si>
  <si>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</si>
  <si>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</si>
  <si>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</si>
  <si>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</si>
  <si>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</si>
  <si>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</si>
  <si>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</si>
  <si>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</si>
  <si>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</si>
  <si>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</si>
  <si>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</si>
  <si>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</si>
  <si>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</si>
  <si>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</si>
  <si>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</si>
  <si>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</si>
  <si>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</si>
  <si>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</si>
  <si>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</si>
  <si>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</si>
  <si>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</si>
  <si>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</si>
  <si>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</si>
  <si>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</si>
  <si>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</si>
  <si>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</si>
  <si>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</si>
  <si>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</si>
  <si>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</si>
  <si>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</si>
  <si>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</si>
  <si>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</si>
  <si>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</si>
  <si>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</si>
  <si>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</si>
  <si>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</si>
  <si>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</si>
  <si>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</si>
  <si>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</si>
  <si>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</si>
  <si>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</si>
  <si>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</si>
  <si>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</si>
  <si>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</si>
  <si>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</si>
  <si>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</si>
  <si>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</si>
  <si>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</si>
  <si>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</si>
  <si>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</si>
  <si>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</si>
  <si>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</si>
  <si>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</si>
  <si>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</si>
  <si>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</si>
  <si>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</si>
  <si>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</si>
  <si>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</si>
  <si>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</si>
  <si>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</si>
  <si>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</si>
  <si>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</si>
  <si>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</si>
  <si>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</si>
  <si>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</si>
  <si>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</si>
  <si>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</si>
  <si>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</si>
  <si>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</si>
  <si>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</si>
  <si>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</si>
  <si>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</si>
  <si>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</si>
  <si>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</si>
  <si>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</si>
  <si>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</si>
  <si>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</si>
  <si>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</si>
  <si>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</si>
  <si>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</si>
  <si>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</si>
  <si>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</si>
  <si>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</si>
  <si>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</si>
  <si>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</si>
  <si>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</si>
  <si>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</si>
  <si>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</si>
  <si>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</si>
  <si>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</si>
  <si>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</si>
  <si>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</si>
  <si>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</si>
  <si>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</si>
  <si>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</si>
  <si>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</si>
  <si>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</si>
  <si>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</si>
  <si>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</si>
  <si>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</si>
  <si>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</si>
  <si>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</si>
  <si>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</si>
  <si>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</si>
  <si>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</si>
  <si>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</si>
  <si>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</si>
  <si>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</si>
  <si>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</si>
  <si>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</si>
  <si>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</si>
  <si>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</si>
  <si>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</si>
  <si>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</si>
  <si>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</si>
  <si>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</si>
  <si>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</si>
  <si>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</si>
  <si>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</si>
  <si>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</si>
  <si>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</si>
  <si>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</si>
  <si>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</si>
  <si>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</si>
  <si>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</si>
  <si>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</si>
  <si>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</si>
  <si>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</si>
  <si>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</si>
  <si>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</si>
  <si>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</si>
  <si>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</si>
  <si>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</si>
  <si>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</si>
  <si>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</si>
  <si>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</si>
  <si>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</si>
  <si>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</si>
  <si>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</si>
  <si>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</si>
  <si>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</si>
  <si>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</si>
  <si>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</si>
  <si>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</si>
  <si>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</si>
  <si>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</si>
  <si>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</si>
  <si>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</si>
  <si>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</si>
  <si>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</si>
  <si>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</si>
  <si>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</si>
  <si>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</si>
  <si>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</si>
  <si>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</si>
  <si>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</si>
  <si>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</si>
  <si>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</si>
  <si>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</si>
  <si>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</si>
  <si>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</si>
  <si>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</si>
  <si>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</si>
  <si>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</si>
  <si>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</si>
  <si>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</si>
  <si>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</si>
  <si>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</si>
  <si>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</si>
  <si>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</si>
  <si>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</si>
  <si>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</si>
  <si>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</si>
  <si>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</si>
  <si>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</si>
  <si>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</si>
  <si>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</si>
  <si>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</si>
  <si>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</si>
  <si>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</si>
  <si>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</si>
  <si>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</si>
  <si>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</si>
  <si>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</si>
  <si>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</si>
  <si>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</si>
  <si>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</si>
  <si>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</si>
  <si>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</si>
  <si>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</si>
  <si>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</si>
  <si>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</si>
  <si>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</si>
  <si>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</si>
  <si>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</si>
  <si>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</si>
  <si>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</si>
  <si>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</si>
  <si>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</si>
  <si>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</si>
  <si>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</si>
  <si>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</si>
  <si>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</si>
  <si>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</si>
  <si>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</si>
  <si>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</si>
  <si>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</si>
  <si>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</si>
  <si>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</si>
  <si>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</si>
  <si>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</si>
  <si>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</si>
  <si>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</si>
  <si>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</si>
  <si>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</si>
  <si>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</si>
  <si>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</si>
  <si>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</si>
  <si>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</si>
  <si>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</si>
  <si>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</si>
  <si>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</si>
  <si>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</si>
  <si>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</si>
  <si>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</si>
  <si>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</si>
  <si>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</si>
  <si>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</si>
  <si>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</si>
  <si>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</si>
  <si>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</si>
  <si>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</si>
  <si>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</si>
  <si>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</si>
  <si>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</si>
  <si>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</si>
  <si>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</si>
  <si>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</si>
  <si>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</si>
  <si>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</si>
  <si>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</si>
  <si>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</si>
  <si>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4d</t>
  </si>
  <si>
    <t>Alex H</t>
  </si>
  <si>
    <t>Dao</t>
  </si>
  <si>
    <t>hoodie</t>
  </si>
  <si>
    <t>Huey</t>
  </si>
  <si>
    <t>izzak</t>
  </si>
  <si>
    <t>klic</t>
  </si>
  <si>
    <t>LuckyDog</t>
  </si>
  <si>
    <t>lucylucy</t>
  </si>
  <si>
    <t>Richie.Adams</t>
  </si>
  <si>
    <t>star62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</si>
</sst>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2685" TargetMode="External"/><Relationship Id="rId3" Type="http://schemas.openxmlformats.org/officeDocument/2006/relationships/hyperlink" Target="http://www.dailygammon.com/bg/user/35610" TargetMode="External"/><Relationship Id="rId7" Type="http://schemas.openxmlformats.org/officeDocument/2006/relationships/hyperlink" Target="http://www.dailygammon.com/bg/user/23659" TargetMode="External"/><Relationship Id="rId2" Type="http://schemas.openxmlformats.org/officeDocument/2006/relationships/hyperlink" Target="http://www.dailygammon.com/bg/user/18751" TargetMode="External"/><Relationship Id="rId1" Type="http://schemas.openxmlformats.org/officeDocument/2006/relationships/hyperlink" Target="http://www.dailygammon.com/bg/user/22809" TargetMode="External"/><Relationship Id="rId6" Type="http://schemas.openxmlformats.org/officeDocument/2006/relationships/hyperlink" Target="http://www.dailygammon.com/bg/user/8743"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22415" TargetMode="External"/><Relationship Id="rId10" Type="http://schemas.openxmlformats.org/officeDocument/2006/relationships/hyperlink" Target="http://www.dailygammon.com/bg/user/40044" TargetMode="External"/><Relationship Id="rId4" Type="http://schemas.openxmlformats.org/officeDocument/2006/relationships/hyperlink" Target="http://www.dailygammon.com/bg/user/10907" TargetMode="External"/><Relationship Id="rId9" Type="http://schemas.openxmlformats.org/officeDocument/2006/relationships/hyperlink" Target="http://www.dailygammon.com/bg/user/11977"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59" t="s">
        <v>253</v>
      </c>
      <c r="D5" s="21"/>
    </row>
    <row r="6" spans="1:4" x14ac:dyDescent="0.35">
      <c r="A6" s="31" t="s">
        <v>254</v>
      </c>
      <c r="D6" s="21"/>
    </row>
    <row r="7" spans="1:4" x14ac:dyDescent="0.35">
      <c r="A7" s="31" t="s">
        <v>255</v>
      </c>
      <c r="D7" s="21"/>
    </row>
    <row r="8" spans="1:4" x14ac:dyDescent="0.35">
      <c r="A8" s="31"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6" r:id="rId1" display="Izzak" xr:uid="{168A4DA0-5942-45E6-AFA6-84F579B08BF6}"/>
    <hyperlink ref="A10" r:id="rId2" xr:uid="{86DF6F62-F710-4E9C-805F-9FF9F646872D}"/>
    <hyperlink ref="A2" r:id="rId3" xr:uid="{7F51B6D2-2C04-4141-B38E-AFC69C85649F}"/>
    <hyperlink ref="A11" r:id="rId4" xr:uid="{95E4A08E-79D7-41B6-A61F-EA93FC83FE04}"/>
    <hyperlink ref="A3" r:id="rId5" xr:uid="{B392F5DC-F209-4E91-BF81-C35A67B8F88C}"/>
    <hyperlink ref="A7" r:id="rId6" display="Klic" xr:uid="{68E5AD45-F6F7-4B1C-81F0-23BD22A02CA1}"/>
    <hyperlink ref="A9" r:id="rId7" xr:uid="{AD244A21-808B-41E6-AB39-0651EE2A149B}"/>
    <hyperlink ref="A8" r:id="rId8" xr:uid="{1F83B3FA-BBDF-4CF9-81C7-19B8F3D50518}"/>
    <hyperlink ref="A4" r:id="rId9" display="Hoodie" xr:uid="{CC25D895-221C-4F44-A4DC-C3BB9783F82D}"/>
    <hyperlink ref="A5" r:id="rId10" xr:uid="{FA31D367-E4CA-4BC2-B530-BDC3EE209D4F}"/>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4d</v>
      </c>
      <c r="B3" s="86" t="str">
        <f>$A4</f>
        <v>Alex H</v>
      </c>
      <c r="C3" s="86"/>
      <c r="D3" s="86" t="str">
        <f>$A5</f>
        <v>Dao</v>
      </c>
      <c r="E3" s="86"/>
      <c r="F3" s="86" t="str">
        <f>$A6</f>
        <v>hoodie</v>
      </c>
      <c r="G3" s="86"/>
      <c r="H3" s="86" t="str">
        <f>$A7</f>
        <v>Huey</v>
      </c>
      <c r="I3" s="86"/>
      <c r="J3" s="86" t="str">
        <f>$A8</f>
        <v>izzak</v>
      </c>
      <c r="K3" s="86"/>
      <c r="L3" s="86" t="str">
        <f>$A9</f>
        <v>klic</v>
      </c>
      <c r="M3" s="86"/>
      <c r="N3" s="86" t="str">
        <f>$A10</f>
        <v>LuckyDog</v>
      </c>
      <c r="O3" s="86"/>
      <c r="P3" s="86" t="str">
        <f>$A11</f>
        <v>lucylucy</v>
      </c>
      <c r="Q3" s="86"/>
      <c r="R3" s="86" t="str">
        <f>$A12</f>
        <v>Richie.Adams</v>
      </c>
      <c r="S3" s="86"/>
      <c r="T3" s="86" t="str">
        <f>$A13</f>
        <v>star62</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Alex H</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Dao</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hoodie</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Huey</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izzak</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klic</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LuckyDog</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lucylucy</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Richie.Adams</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star62</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LuckyDog</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lucylucy</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Alex H</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Richie.Adams</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klic</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star62</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Dao</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Huey</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izzak</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hoodie</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4d</v>
      </c>
      <c r="B1" s="4" t="str">
        <f>$A2</f>
        <v>Alex H</v>
      </c>
      <c r="C1" s="4" t="str">
        <f>$A3</f>
        <v>Dao</v>
      </c>
      <c r="D1" s="4" t="str">
        <f>$A4</f>
        <v>hoodie</v>
      </c>
      <c r="E1" s="4" t="str">
        <f>$A5</f>
        <v>Huey</v>
      </c>
      <c r="F1" s="4" t="str">
        <f>$A6</f>
        <v>izzak</v>
      </c>
      <c r="G1" s="4" t="str">
        <f>$A7</f>
        <v>klic</v>
      </c>
      <c r="H1" s="4" t="str">
        <f>A8</f>
        <v>LuckyDog</v>
      </c>
      <c r="I1" s="4" t="str">
        <f>$A9</f>
        <v>lucylucy</v>
      </c>
      <c r="J1" s="4" t="str">
        <f>$A10</f>
        <v>Richie.Adams</v>
      </c>
      <c r="K1" s="5" t="str">
        <f>$A11</f>
        <v>star62</v>
      </c>
      <c r="M1" s="24" t="s">
        <v>36</v>
      </c>
    </row>
    <row r="2" spans="1:13" x14ac:dyDescent="0.35">
      <c r="A2" s="1" t="str">
        <f>IF(Player1="","",Player1)</f>
        <v>Alex H</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"http://dailygammon.com/bg/user/35610?active=1&amp;finished=0&amp;sort_win_loss=0&amp;days_to_view=150" &gt;"4d\4d_Alex H_35610.html"</v>
      </c>
    </row>
    <row r="3" spans="1:13" x14ac:dyDescent="0.35">
      <c r="A3" s="1" t="str">
        <f>IF(Player2="","",Player2)</f>
        <v>Dao</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"http://dailygammon.com/bg/user/22415?active=1&amp;finished=0&amp;sort_win_loss=0&amp;days_to_view=150" &gt;"4d\4d_Dao_22415.html"</v>
      </c>
    </row>
    <row r="4" spans="1:13" x14ac:dyDescent="0.35">
      <c r="A4" s="1" t="str">
        <f>IF(Player3="","",Player3)</f>
        <v>hoodie</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"http://dailygammon.com/bg/user/11977?active=1&amp;finished=0&amp;sort_win_loss=0&amp;days_to_view=150" &gt;"4d\4d_hoodie_11977.html"</v>
      </c>
    </row>
    <row r="5" spans="1:13" x14ac:dyDescent="0.35">
      <c r="A5" s="1" t="str">
        <f>IF(Player4="","",Player4)</f>
        <v>Huey</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"http://dailygammon.com/bg/user/40044?active=1&amp;finished=0&amp;sort_win_loss=0&amp;days_to_view=150" &gt;"4d\4d_Huey_40044.html"</v>
      </c>
    </row>
    <row r="6" spans="1:13" x14ac:dyDescent="0.35">
      <c r="A6" s="1" t="str">
        <f>IF(Player5="","",Player5)</f>
        <v>izzak</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"http://dailygammon.com/bg/user/22809?active=1&amp;finished=0&amp;sort_win_loss=0&amp;days_to_view=150" &gt;"4d\4d_izzak_22809.html"</v>
      </c>
    </row>
    <row r="7" spans="1:13" x14ac:dyDescent="0.35">
      <c r="A7" s="1" t="str">
        <f>IF(Player6="","",Player6)</f>
        <v>klic</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"http://dailygammon.com/bg/user/8743?active=1&amp;finished=0&amp;sort_win_loss=0&amp;days_to_view=150" &gt;"4d\4d_klic_8743.html"</v>
      </c>
    </row>
    <row r="8" spans="1:13" x14ac:dyDescent="0.35">
      <c r="A8" s="1" t="str">
        <f>IF(Player7="","",Player7)</f>
        <v>LuckyDog</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"http://dailygammon.com/bg/user/2685?active=1&amp;finished=0&amp;sort_win_loss=0&amp;days_to_view=150" &gt;"4d\4d_LuckyDog_2685.html"</v>
      </c>
    </row>
    <row r="9" spans="1:13" x14ac:dyDescent="0.35">
      <c r="A9" s="1" t="str">
        <f>IF(Player8="","",Player8)</f>
        <v>lucylucy</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"http://dailygammon.com/bg/user/23659?active=1&amp;finished=0&amp;sort_win_loss=0&amp;days_to_view=150" &gt;"4d\4d_lucylucy_23659.html"</v>
      </c>
    </row>
    <row r="10" spans="1:13" x14ac:dyDescent="0.35">
      <c r="A10" s="1" t="str">
        <f>IF(Player9="","",Player9)</f>
        <v>Richie.Adams</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"http://dailygammon.com/bg/user/18751?active=1&amp;finished=0&amp;sort_win_loss=0&amp;days_to_view=150" &gt;"4d\4d_Richie.Adams_18751.html"</v>
      </c>
    </row>
    <row r="11" spans="1:13" x14ac:dyDescent="0.35">
      <c r="A11" s="2" t="str">
        <f>IF(Player10="","",Player10)</f>
        <v>star62</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"http://dailygammon.com/bg/user/10907?active=1&amp;finished=0&amp;sort_win_loss=0&amp;days_to_view=150" &gt;"4d\4d_star62_10907.html"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Alex H</v>
      </c>
      <c r="B2" s="6">
        <v>0.45</v>
      </c>
      <c r="C2">
        <v>0</v>
      </c>
      <c r="D2">
        <v>0</v>
      </c>
      <c r="E2">
        <v>18</v>
      </c>
      <c r="F2">
        <v>9</v>
      </c>
      <c r="G2">
        <f>F2/E2</f>
        <v>0.5</v>
      </c>
      <c r="H2">
        <f>ROUND(F2,0)</f>
        <v>9</v>
      </c>
      <c r="I2">
        <f>E2-H2</f>
        <v>9</v>
      </c>
      <c r="J2">
        <f>C2+H2</f>
        <v>9</v>
      </c>
      <c r="K2">
        <f>D2+I2</f>
        <v>9</v>
      </c>
      <c r="L2">
        <f>C2+D2+H2+I2</f>
        <v>18</v>
      </c>
    </row>
    <row r="3" spans="1:12" x14ac:dyDescent="0.35">
      <c r="A3" t="str">
        <f>Player2</f>
        <v>Dao</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hoodie</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Huey</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izzak</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klic</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LuckyDog</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lucylucy</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Richie.Adams</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star62</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4d</v>
      </c>
      <c r="B3" s="36" t="str">
        <f>$A4</f>
        <v>Alex H</v>
      </c>
      <c r="C3" s="36" t="str">
        <f>$A5</f>
        <v>Dao</v>
      </c>
      <c r="D3" s="36" t="str">
        <f>$A6</f>
        <v>hoodie</v>
      </c>
      <c r="E3" s="36" t="str">
        <f>$A7</f>
        <v>Huey</v>
      </c>
      <c r="F3" s="36" t="str">
        <f>$A8</f>
        <v>izzak</v>
      </c>
      <c r="G3" s="36" t="str">
        <f>$A9</f>
        <v>klic</v>
      </c>
      <c r="H3" s="36" t="str">
        <f>$A10</f>
        <v>LuckyDog</v>
      </c>
      <c r="I3" s="36" t="str">
        <f>$A11</f>
        <v>lucylucy</v>
      </c>
      <c r="J3" s="36" t="str">
        <f>$A12</f>
        <v>Richie.Adams</v>
      </c>
      <c r="K3" s="37" t="str">
        <f>$A13</f>
        <v>star62</v>
      </c>
      <c r="L3" s="1"/>
    </row>
    <row r="4" spans="1:12" x14ac:dyDescent="0.35">
      <c r="A4" s="33" t="str">
        <f>IF(Player1="","",Player1)</f>
        <v>Alex H</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Dao</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hoodie</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Huey</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izzak</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klic</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LuckyDog</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lucylucy</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Richie.Adams</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star62</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2025-08-06T09:42:42Z</dcterms:modified>
</cp:coreProperties>
</file>
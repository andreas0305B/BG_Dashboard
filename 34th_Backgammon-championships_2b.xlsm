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0E96B07F-1958-4873-93FE-6E26C0023C50}"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<sst xmlns="http://schemas.openxmlformats.org/spreadsheetml/2006/main" count="1761" uniqueCount="255">
  <si>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</si>
  <si>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</si>
  <si>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</si>
  <si>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</si>
  <si>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</si>
  <si>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</si>
  <si>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</si>
  <si>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</si>
  <si>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</si>
  <si>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</si>
  <si>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</si>
  <si>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</si>
  <si>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</si>
  <si>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</si>
  <si>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</si>
  <si>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</si>
  <si>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</si>
  <si>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</si>
  <si>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</si>
  <si>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</si>
  <si>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</si>
  <si>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</si>
  <si>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</si>
  <si>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</si>
  <si>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</si>
  <si>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</si>
  <si>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</si>
  <si>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</si>
  <si>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</si>
  <si>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</si>
  <si>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</si>
  <si>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</si>
  <si>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</si>
  <si>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</si>
  <si>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</si>
  <si>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</si>
  <si>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</si>
  <si>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</si>
  <si>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</si>
  <si>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</si>
  <si>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</si>
  <si>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</si>
  <si>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</si>
  <si>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</si>
  <si>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</si>
  <si>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</si>
  <si>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</si>
  <si>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</si>
  <si>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</si>
  <si>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</si>
  <si>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</si>
  <si>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</si>
  <si>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</si>
  <si>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</si>
  <si>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</si>
  <si>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</si>
  <si>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</si>
  <si>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</si>
  <si>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</si>
  <si>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</si>
  <si>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</si>
  <si>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</si>
  <si>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</si>
  <si>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</si>
  <si>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</si>
  <si>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</si>
  <si>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</si>
  <si>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</si>
  <si>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</si>
  <si>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</si>
  <si>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</si>
  <si>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</si>
  <si>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</si>
  <si>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</si>
  <si>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</si>
  <si>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</si>
  <si>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</si>
  <si>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</si>
  <si>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</si>
  <si>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</si>
  <si>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</si>
  <si>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</si>
  <si>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</si>
  <si>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</si>
  <si>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</si>
  <si>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</si>
  <si>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</si>
  <si>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</si>
  <si>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</si>
  <si>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</si>
  <si>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</si>
  <si>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</si>
  <si>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</si>
  <si>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</si>
  <si>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</si>
  <si>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</si>
  <si>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</si>
  <si>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</si>
  <si>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</si>
  <si>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</si>
  <si>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</si>
  <si>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</si>
  <si>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</si>
  <si>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</si>
  <si>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</si>
  <si>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</si>
  <si>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</si>
  <si>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</si>
  <si>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</si>
  <si>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</si>
  <si>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</si>
  <si>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</si>
  <si>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</si>
  <si>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</si>
  <si>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</si>
  <si>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</si>
  <si>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</si>
  <si>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</si>
  <si>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</si>
  <si>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</si>
  <si>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</si>
  <si>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</si>
  <si>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</si>
  <si>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</si>
  <si>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</si>
  <si>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</si>
  <si>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</si>
  <si>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</si>
  <si>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</si>
  <si>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</si>
  <si>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</si>
  <si>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</si>
  <si>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</si>
  <si>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</si>
  <si>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</si>
  <si>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</si>
  <si>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</si>
  <si>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</si>
  <si>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</si>
  <si>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</si>
  <si>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</si>
  <si>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</si>
  <si>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</si>
  <si>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</si>
  <si>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</si>
  <si>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</si>
  <si>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</si>
  <si>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</si>
  <si>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</si>
  <si>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</si>
  <si>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</si>
  <si>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</si>
  <si>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</si>
  <si>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</si>
  <si>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</si>
  <si>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</si>
  <si>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</si>
  <si>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</si>
  <si>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</si>
  <si>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</si>
  <si>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</si>
  <si>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</si>
  <si>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</si>
  <si>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</si>
  <si>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</si>
  <si>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</si>
  <si>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</si>
  <si>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</si>
  <si>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</si>
  <si>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</si>
  <si>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</si>
  <si>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</si>
  <si>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</si>
  <si>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</si>
  <si>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</si>
  <si>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</si>
  <si>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</si>
  <si>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</si>
  <si>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</si>
  <si>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</si>
  <si>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</si>
  <si>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</si>
  <si>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</si>
  <si>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</si>
  <si>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</si>
  <si>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</si>
  <si>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</si>
  <si>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</si>
  <si>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</si>
  <si>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</si>
  <si>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</si>
  <si>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</si>
  <si>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</si>
  <si>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</si>
  <si>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</si>
  <si>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</si>
  <si>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</si>
  <si>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</si>
  <si>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</si>
  <si>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</si>
  <si>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</si>
  <si>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</si>
  <si>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</si>
  <si>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</si>
  <si>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</si>
  <si>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</si>
  <si>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</si>
  <si>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</si>
  <si>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</si>
  <si>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</si>
  <si>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</si>
  <si>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</si>
  <si>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</si>
  <si>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</si>
  <si>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</si>
  <si>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</si>
  <si>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</si>
  <si>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</si>
  <si>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</si>
  <si>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</si>
  <si>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</si>
  <si>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</si>
  <si>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</si>
  <si>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</si>
  <si>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</si>
  <si>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</si>
  <si>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</si>
  <si>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</si>
  <si>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</si>
  <si>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</si>
  <si>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</si>
  <si>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</si>
  <si>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</si>
  <si>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</si>
  <si>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</si>
  <si>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</si>
  <si>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</si>
  <si>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</si>
  <si>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</si>
  <si>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</si>
  <si>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</si>
  <si>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</si>
  <si>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</si>
  <si>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</si>
  <si>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</si>
  <si>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</si>
  <si>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</si>
  <si>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</si>
  <si>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</si>
  <si>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2b</t>
  </si>
  <si>
    <t>69Sandman</t>
  </si>
  <si>
    <t>Freesurfer</t>
  </si>
  <si>
    <t>goofie</t>
  </si>
  <si>
    <t>Greathumics</t>
  </si>
  <si>
    <t>magic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</si>
</sst>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7">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16338" TargetMode="External"/><Relationship Id="rId3" Type="http://schemas.openxmlformats.org/officeDocument/2006/relationships/hyperlink" Target="http://www.dailygammon.com/bg/user/27176" TargetMode="External"/><Relationship Id="rId7" Type="http://schemas.openxmlformats.org/officeDocument/2006/relationships/hyperlink" Target="http://www.dailygammon.com/bg/user/32477" TargetMode="External"/><Relationship Id="rId2" Type="http://schemas.openxmlformats.org/officeDocument/2006/relationships/hyperlink" Target="http://www.dailygammon.com/bg/user/32442" TargetMode="External"/><Relationship Id="rId1" Type="http://schemas.openxmlformats.org/officeDocument/2006/relationships/hyperlink" Target="http://www.dailygammon.com/bg/user/31517" TargetMode="External"/><Relationship Id="rId6" Type="http://schemas.openxmlformats.org/officeDocument/2006/relationships/hyperlink" Target="http://www.dailygammon.com/bg/user/28783"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31952" TargetMode="External"/><Relationship Id="rId10" Type="http://schemas.openxmlformats.org/officeDocument/2006/relationships/hyperlink" Target="http://www.dailygammon.com/bg/user/8801" TargetMode="External"/><Relationship Id="rId4" Type="http://schemas.openxmlformats.org/officeDocument/2006/relationships/hyperlink" Target="http://www.dailygammon.com/bg/user/31793" TargetMode="External"/><Relationship Id="rId9" Type="http://schemas.openxmlformats.org/officeDocument/2006/relationships/hyperlink" Target="http://www.dailygammon.com/bg/user/37183"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59"/>
    <col min="2" max="2" width="76.90625" style="60" customWidth="1"/>
    <col min="3" max="16384" width="11.54296875" style="59"/>
  </cols>
  <sheetData>
    <row r="1" spans="1:2" x14ac:dyDescent="0.35">
      <c r="A1" s="59" t="s">
        <v>169</v>
      </c>
    </row>
    <row r="2" spans="1:2" ht="159.5" x14ac:dyDescent="0.35">
      <c r="A2" s="59" t="s">
        <v>170</v>
      </c>
      <c r="B2" s="60" t="s">
        <v>171</v>
      </c>
    </row>
    <row r="3" spans="1:2" ht="58" x14ac:dyDescent="0.35">
      <c r="A3" s="59" t="s">
        <v>172</v>
      </c>
      <c r="B3" s="60" t="s">
        <v>173</v>
      </c>
    </row>
    <row r="4" spans="1:2" ht="43.5" x14ac:dyDescent="0.35">
      <c r="A4" s="59" t="s">
        <v>174</v>
      </c>
      <c r="B4" s="60" t="s">
        <v>175</v>
      </c>
    </row>
    <row r="5" spans="1:2" ht="58" x14ac:dyDescent="0.35">
      <c r="A5" s="59" t="s">
        <v>176</v>
      </c>
      <c r="B5" s="60" t="s">
        <v>177</v>
      </c>
    </row>
    <row r="6" spans="1:2" ht="261" x14ac:dyDescent="0.35">
      <c r="A6" s="61" t="s">
        <v>179</v>
      </c>
      <c r="B6" s="62"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31" t="s">
        <v>165</v>
      </c>
      <c r="D3" s="21"/>
    </row>
    <row r="4" spans="1:4" x14ac:dyDescent="0.35">
      <c r="A4" s="31" t="s">
        <v>166</v>
      </c>
      <c r="D4" s="21"/>
    </row>
    <row r="5" spans="1:4" x14ac:dyDescent="0.35">
      <c r="A5" s="31" t="s">
        <v>56</v>
      </c>
      <c r="D5" s="21"/>
    </row>
    <row r="6" spans="1:4" x14ac:dyDescent="0.35">
      <c r="A6" s="31" t="s">
        <v>251</v>
      </c>
      <c r="D6" s="21"/>
    </row>
    <row r="7" spans="1:4" x14ac:dyDescent="0.35">
      <c r="A7" s="31" t="s">
        <v>252</v>
      </c>
      <c r="D7" s="21"/>
    </row>
    <row r="8" spans="1:4" x14ac:dyDescent="0.35">
      <c r="A8" s="31" t="s">
        <v>253</v>
      </c>
      <c r="D8" s="21"/>
    </row>
    <row r="9" spans="1:4" x14ac:dyDescent="0.35">
      <c r="A9" s="31" t="s">
        <v>254</v>
      </c>
      <c r="D9" s="21"/>
    </row>
    <row r="10" spans="1:4" x14ac:dyDescent="0.35">
      <c r="A10" s="31" t="s">
        <v>59</v>
      </c>
      <c r="D10" s="21"/>
    </row>
    <row r="11" spans="1:4" x14ac:dyDescent="0.35">
      <c r="A11" s="31" t="s">
        <v>114</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10" r:id="rId1" xr:uid="{22C66F15-04E4-48F6-858F-7B24D118123C}"/>
    <hyperlink ref="A6" r:id="rId2" xr:uid="{3909F04A-EFF6-4B19-8273-3547FD4C5794}"/>
    <hyperlink ref="A2" r:id="rId3" display="69 Sandman" xr:uid="{5A6F359A-E7A5-4E52-8A83-719CAEB1D7B3}"/>
    <hyperlink ref="A4" r:id="rId4" xr:uid="{5AE066F7-9884-4A16-93F3-1E44DB987FF7}"/>
    <hyperlink ref="A5" r:id="rId5" xr:uid="{80B508F4-17AC-4941-82F3-CB8B28CBD33C}"/>
    <hyperlink ref="A11" r:id="rId6" display="Skonaman" xr:uid="{D60AEEAB-4C69-4F11-B852-744D0A92BCFF}"/>
    <hyperlink ref="A3" r:id="rId7" xr:uid="{B05A45F9-E604-476B-8E60-A929F15CE593}"/>
    <hyperlink ref="A7" r:id="rId8" xr:uid="{5872A69A-A61A-4FC7-821D-7B673C4EA2C1}"/>
    <hyperlink ref="A8" r:id="rId9" xr:uid="{8C644AA9-48F5-401D-8C74-6A8B22194264}"/>
    <hyperlink ref="A9" r:id="rId10" xr:uid="{5C8AE6EE-2C02-4862-8A05-AEE6789EDD2A}"/>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2" t="s">
        <v>3</v>
      </c>
      <c r="W1" s="83"/>
      <c r="X1" s="83"/>
      <c r="Y1" s="83"/>
      <c r="Z1" s="83"/>
      <c r="AA1" s="84"/>
      <c r="AB1" s="82" t="s">
        <v>9</v>
      </c>
      <c r="AC1" s="83"/>
      <c r="AD1" s="83"/>
      <c r="AE1" s="83"/>
      <c r="AF1" s="83"/>
      <c r="AG1" s="83"/>
      <c r="AH1" s="83"/>
      <c r="AI1" s="68"/>
    </row>
    <row r="2" spans="1:57" x14ac:dyDescent="0.35">
      <c r="V2" s="86" t="s">
        <v>6</v>
      </c>
      <c r="W2" s="87"/>
      <c r="X2" s="87" t="s">
        <v>7</v>
      </c>
      <c r="Y2" s="87"/>
      <c r="Z2" s="70"/>
      <c r="AA2" s="71"/>
      <c r="AB2" s="69"/>
      <c r="AC2" s="70"/>
      <c r="AD2" s="87" t="s">
        <v>6</v>
      </c>
      <c r="AE2" s="87"/>
      <c r="AF2" s="87" t="s">
        <v>7</v>
      </c>
      <c r="AG2" s="87"/>
      <c r="AH2" s="88" t="s">
        <v>8</v>
      </c>
      <c r="AI2" s="89"/>
    </row>
    <row r="3" spans="1:57" ht="100.25" customHeight="1" x14ac:dyDescent="0.35">
      <c r="A3" s="32" t="str">
        <f>Group</f>
        <v>2b</v>
      </c>
      <c r="B3" s="85" t="str">
        <f>$A4</f>
        <v>69Sandman</v>
      </c>
      <c r="C3" s="85"/>
      <c r="D3" s="85" t="str">
        <f>$A5</f>
        <v>Captnblaubaer</v>
      </c>
      <c r="E3" s="85"/>
      <c r="F3" s="85" t="str">
        <f>$A6</f>
        <v>DrummieMilo</v>
      </c>
      <c r="G3" s="85"/>
      <c r="H3" s="85" t="str">
        <f>$A7</f>
        <v>dzsobacsi</v>
      </c>
      <c r="I3" s="85"/>
      <c r="J3" s="85" t="str">
        <f>$A8</f>
        <v>Freesurfer</v>
      </c>
      <c r="K3" s="85"/>
      <c r="L3" s="85" t="str">
        <f>$A9</f>
        <v>goofie</v>
      </c>
      <c r="M3" s="85"/>
      <c r="N3" s="85" t="str">
        <f>$A10</f>
        <v>Greathumics</v>
      </c>
      <c r="O3" s="85"/>
      <c r="P3" s="85" t="str">
        <f>$A11</f>
        <v>magic one</v>
      </c>
      <c r="Q3" s="85"/>
      <c r="R3" s="85" t="str">
        <f>$A12</f>
        <v>Sandr</v>
      </c>
      <c r="S3" s="85"/>
      <c r="T3" s="85" t="str">
        <f>$A13</f>
        <v>skonaman</v>
      </c>
      <c r="U3" s="90"/>
      <c r="V3" s="1" t="s">
        <v>0</v>
      </c>
      <c r="W3" t="s">
        <v>1</v>
      </c>
      <c r="X3" t="s">
        <v>0</v>
      </c>
      <c r="Y3" t="s">
        <v>1</v>
      </c>
      <c r="Z3" t="s">
        <v>10</v>
      </c>
      <c r="AA3" s="68" t="s">
        <v>11</v>
      </c>
      <c r="AB3" s="1" t="s">
        <v>10</v>
      </c>
      <c r="AC3" t="s">
        <v>11</v>
      </c>
      <c r="AD3" t="s">
        <v>0</v>
      </c>
      <c r="AE3" t="s">
        <v>1</v>
      </c>
      <c r="AF3" t="s">
        <v>0</v>
      </c>
      <c r="AG3" t="s">
        <v>1</v>
      </c>
      <c r="AH3" t="s">
        <v>6</v>
      </c>
      <c r="AI3" s="68" t="s">
        <v>7</v>
      </c>
      <c r="AJ3" s="91" t="s">
        <v>38</v>
      </c>
      <c r="AK3" s="92"/>
      <c r="AL3" s="92"/>
      <c r="AM3" s="92"/>
      <c r="AN3" s="92"/>
      <c r="AO3" s="92"/>
      <c r="AP3" s="92"/>
      <c r="AQ3" s="92"/>
      <c r="AR3" s="92"/>
      <c r="AS3" s="92"/>
      <c r="AT3" s="92"/>
      <c r="AU3" s="91" t="s">
        <v>39</v>
      </c>
      <c r="AV3" s="92"/>
      <c r="AW3" s="92"/>
      <c r="AX3" s="92"/>
      <c r="AY3" s="92"/>
      <c r="AZ3" s="92"/>
      <c r="BA3" s="92"/>
      <c r="BB3" s="92"/>
      <c r="BC3" s="92"/>
      <c r="BD3" s="92"/>
      <c r="BE3" s="92"/>
    </row>
    <row r="4" spans="1:57" x14ac:dyDescent="0.35">
      <c r="A4" s="33" t="str">
        <f>IF(Player1="","",Player1)</f>
        <v>69Sandman</v>
      </c>
      <c r="B4" s="81"/>
      <c r="C4" s="81"/>
      <c r="D4" s="72"/>
      <c r="E4" s="72"/>
      <c r="F4" s="73"/>
      <c r="G4" s="73"/>
      <c r="H4" s="72"/>
      <c r="I4" s="72"/>
      <c r="J4" s="72"/>
      <c r="K4" s="72"/>
      <c r="L4" s="72"/>
      <c r="M4" s="72"/>
      <c r="N4" s="72"/>
      <c r="O4" s="72"/>
      <c r="P4" s="72"/>
      <c r="Q4" s="72"/>
      <c r="R4" s="72"/>
      <c r="S4" s="72"/>
      <c r="T4" s="72"/>
      <c r="U4" s="74"/>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8">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8">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Captnblaubaer</v>
      </c>
      <c r="B5" s="72"/>
      <c r="C5" s="72"/>
      <c r="D5" s="75"/>
      <c r="E5" s="75"/>
      <c r="F5" s="72"/>
      <c r="G5" s="72"/>
      <c r="H5" s="72"/>
      <c r="I5" s="72"/>
      <c r="J5" s="76"/>
      <c r="K5" s="76"/>
      <c r="L5" s="72"/>
      <c r="M5" s="72"/>
      <c r="N5" s="72"/>
      <c r="O5" s="72"/>
      <c r="P5" s="72"/>
      <c r="Q5" s="72"/>
      <c r="R5" s="72"/>
      <c r="S5" s="72"/>
      <c r="T5" s="72"/>
      <c r="U5" s="74"/>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8">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8">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DrummieMilo</v>
      </c>
      <c r="B6" s="73"/>
      <c r="C6" s="73"/>
      <c r="D6" s="73"/>
      <c r="E6" s="73"/>
      <c r="F6" s="75"/>
      <c r="G6" s="75"/>
      <c r="H6" s="72"/>
      <c r="I6" s="72"/>
      <c r="J6" s="72"/>
      <c r="K6" s="72"/>
      <c r="L6" s="72"/>
      <c r="M6" s="72"/>
      <c r="N6" s="72"/>
      <c r="O6" s="72"/>
      <c r="P6" s="72"/>
      <c r="Q6" s="72"/>
      <c r="R6" s="72"/>
      <c r="S6" s="72"/>
      <c r="T6" s="72"/>
      <c r="U6" s="74"/>
      <c r="V6" s="1">
        <f t="shared" si="22"/>
        <v>0</v>
      </c>
      <c r="W6">
        <f t="shared" si="23"/>
        <v>0</v>
      </c>
      <c r="X6">
        <f t="shared" si="24"/>
        <v>0</v>
      </c>
      <c r="Y6">
        <f t="shared" si="25"/>
        <v>0</v>
      </c>
      <c r="Z6">
        <f t="shared" si="26"/>
        <v>0</v>
      </c>
      <c r="AA6" s="68">
        <f t="shared" si="27"/>
        <v>0</v>
      </c>
      <c r="AB6" s="1">
        <f>Z6+F$16</f>
        <v>0</v>
      </c>
      <c r="AC6">
        <f>AA6+G$16</f>
        <v>0</v>
      </c>
      <c r="AD6">
        <f>V6+G14</f>
        <v>0</v>
      </c>
      <c r="AE6">
        <f>W6+F14</f>
        <v>0</v>
      </c>
      <c r="AF6">
        <f>X6+G$15</f>
        <v>0</v>
      </c>
      <c r="AG6">
        <f>Y6+F$15</f>
        <v>0</v>
      </c>
      <c r="AH6">
        <f t="shared" si="0"/>
        <v>0</v>
      </c>
      <c r="AI6" s="68">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dzsobacsi</v>
      </c>
      <c r="B7" s="72"/>
      <c r="C7" s="72"/>
      <c r="D7" s="72"/>
      <c r="E7" s="72"/>
      <c r="F7" s="72"/>
      <c r="G7" s="72"/>
      <c r="H7" s="75"/>
      <c r="I7" s="75"/>
      <c r="J7" s="72"/>
      <c r="K7" s="72"/>
      <c r="L7" s="72"/>
      <c r="M7" s="72"/>
      <c r="N7" s="72"/>
      <c r="O7" s="72"/>
      <c r="P7" s="72"/>
      <c r="Q7" s="72"/>
      <c r="R7" s="72"/>
      <c r="S7" s="72"/>
      <c r="T7" s="72"/>
      <c r="U7" s="74"/>
      <c r="V7" s="1">
        <f t="shared" si="22"/>
        <v>0</v>
      </c>
      <c r="W7">
        <f t="shared" si="23"/>
        <v>0</v>
      </c>
      <c r="X7">
        <f t="shared" si="24"/>
        <v>0</v>
      </c>
      <c r="Y7">
        <f t="shared" si="25"/>
        <v>0</v>
      </c>
      <c r="Z7">
        <f t="shared" si="26"/>
        <v>0</v>
      </c>
      <c r="AA7" s="68">
        <f t="shared" si="27"/>
        <v>0</v>
      </c>
      <c r="AB7" s="1">
        <f>Z7+H$16</f>
        <v>0</v>
      </c>
      <c r="AC7">
        <f>AA7+I$16</f>
        <v>0</v>
      </c>
      <c r="AD7">
        <f>V7+I$14</f>
        <v>0</v>
      </c>
      <c r="AE7">
        <f>W7+H$14</f>
        <v>0</v>
      </c>
      <c r="AF7">
        <f>X7+I$15</f>
        <v>0</v>
      </c>
      <c r="AG7">
        <f>Y7+H$15</f>
        <v>0</v>
      </c>
      <c r="AH7">
        <f t="shared" si="0"/>
        <v>0</v>
      </c>
      <c r="AI7" s="68">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Freesurfer</v>
      </c>
      <c r="B8" s="72"/>
      <c r="C8" s="72"/>
      <c r="D8" s="75"/>
      <c r="E8" s="75"/>
      <c r="F8" s="72"/>
      <c r="G8" s="72"/>
      <c r="H8" s="75"/>
      <c r="I8" s="75"/>
      <c r="J8" s="75"/>
      <c r="K8" s="75"/>
      <c r="L8" s="75"/>
      <c r="M8" s="75"/>
      <c r="N8" s="72"/>
      <c r="O8" s="72"/>
      <c r="P8" s="72"/>
      <c r="Q8" s="72"/>
      <c r="R8" s="72"/>
      <c r="S8" s="72"/>
      <c r="T8" s="72"/>
      <c r="U8" s="74"/>
      <c r="V8" s="1">
        <f t="shared" si="22"/>
        <v>0</v>
      </c>
      <c r="W8">
        <f t="shared" si="23"/>
        <v>0</v>
      </c>
      <c r="X8">
        <f t="shared" si="24"/>
        <v>0</v>
      </c>
      <c r="Y8">
        <f t="shared" si="25"/>
        <v>0</v>
      </c>
      <c r="Z8">
        <f t="shared" si="26"/>
        <v>0</v>
      </c>
      <c r="AA8" s="68">
        <f t="shared" si="27"/>
        <v>0</v>
      </c>
      <c r="AB8" s="1">
        <f>Z8+J$16</f>
        <v>0</v>
      </c>
      <c r="AC8">
        <f>AA8+K$16</f>
        <v>0</v>
      </c>
      <c r="AD8">
        <f>V8+K$14</f>
        <v>0</v>
      </c>
      <c r="AE8">
        <f>W8+J$14</f>
        <v>0</v>
      </c>
      <c r="AF8">
        <f>X8+K$15</f>
        <v>0</v>
      </c>
      <c r="AG8">
        <f>Y8+J$15</f>
        <v>0</v>
      </c>
      <c r="AH8">
        <f t="shared" si="0"/>
        <v>0</v>
      </c>
      <c r="AI8" s="68">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goofie</v>
      </c>
      <c r="B9" s="72"/>
      <c r="C9" s="72"/>
      <c r="D9" s="72"/>
      <c r="E9" s="72"/>
      <c r="F9" s="72"/>
      <c r="G9" s="72"/>
      <c r="H9" s="72"/>
      <c r="I9" s="72"/>
      <c r="J9" s="72"/>
      <c r="K9" s="72"/>
      <c r="L9" s="75"/>
      <c r="M9" s="75"/>
      <c r="N9" s="72"/>
      <c r="O9" s="72"/>
      <c r="P9" s="72"/>
      <c r="Q9" s="72"/>
      <c r="R9" s="72"/>
      <c r="S9" s="72"/>
      <c r="T9" s="72"/>
      <c r="U9" s="74"/>
      <c r="V9" s="1">
        <f t="shared" si="22"/>
        <v>0</v>
      </c>
      <c r="W9">
        <f t="shared" si="23"/>
        <v>0</v>
      </c>
      <c r="X9">
        <f t="shared" si="24"/>
        <v>0</v>
      </c>
      <c r="Y9">
        <f t="shared" si="25"/>
        <v>0</v>
      </c>
      <c r="Z9">
        <f t="shared" si="26"/>
        <v>0</v>
      </c>
      <c r="AA9" s="68">
        <f t="shared" si="27"/>
        <v>0</v>
      </c>
      <c r="AB9" s="1">
        <f>Z9+L$16</f>
        <v>0</v>
      </c>
      <c r="AC9">
        <f>AA9+M$16</f>
        <v>0</v>
      </c>
      <c r="AD9">
        <f>V9+M$14</f>
        <v>0</v>
      </c>
      <c r="AE9">
        <f>W9+L$14</f>
        <v>0</v>
      </c>
      <c r="AF9">
        <f>X9+M$15</f>
        <v>0</v>
      </c>
      <c r="AG9">
        <f>Y9+L$15</f>
        <v>0</v>
      </c>
      <c r="AH9">
        <f t="shared" si="0"/>
        <v>0</v>
      </c>
      <c r="AI9" s="68">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Greathumics</v>
      </c>
      <c r="B10" s="72"/>
      <c r="C10" s="72"/>
      <c r="D10" s="72"/>
      <c r="E10" s="72"/>
      <c r="F10" s="72"/>
      <c r="G10" s="72"/>
      <c r="H10" s="72"/>
      <c r="I10" s="72"/>
      <c r="J10" s="72"/>
      <c r="K10" s="72"/>
      <c r="L10" s="72"/>
      <c r="M10" s="72"/>
      <c r="N10" s="75"/>
      <c r="O10" s="75"/>
      <c r="P10" s="72"/>
      <c r="Q10" s="72"/>
      <c r="R10" s="72"/>
      <c r="S10" s="72"/>
      <c r="T10" s="72"/>
      <c r="U10" s="74"/>
      <c r="V10" s="1">
        <f t="shared" si="22"/>
        <v>0</v>
      </c>
      <c r="W10">
        <f t="shared" si="23"/>
        <v>0</v>
      </c>
      <c r="X10">
        <f t="shared" si="24"/>
        <v>0</v>
      </c>
      <c r="Y10">
        <f t="shared" si="25"/>
        <v>0</v>
      </c>
      <c r="Z10">
        <f t="shared" si="26"/>
        <v>0</v>
      </c>
      <c r="AA10" s="68">
        <f t="shared" si="27"/>
        <v>0</v>
      </c>
      <c r="AB10" s="1">
        <f>Z10+N$16</f>
        <v>0</v>
      </c>
      <c r="AC10">
        <f>AA10+O$16</f>
        <v>0</v>
      </c>
      <c r="AD10">
        <f>V10+O$14</f>
        <v>0</v>
      </c>
      <c r="AE10">
        <f>W10+N$14</f>
        <v>0</v>
      </c>
      <c r="AF10">
        <f>X10+O$15</f>
        <v>0</v>
      </c>
      <c r="AG10">
        <f>Y10+N$15</f>
        <v>0</v>
      </c>
      <c r="AH10">
        <f t="shared" si="0"/>
        <v>0</v>
      </c>
      <c r="AI10" s="68">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magic one</v>
      </c>
      <c r="B11" s="72"/>
      <c r="C11" s="72"/>
      <c r="D11" s="72"/>
      <c r="E11" s="72"/>
      <c r="F11" s="73"/>
      <c r="G11" s="73"/>
      <c r="H11" s="72"/>
      <c r="I11" s="72"/>
      <c r="J11" s="72"/>
      <c r="K11" s="72"/>
      <c r="L11" s="72"/>
      <c r="M11" s="72"/>
      <c r="N11" s="72"/>
      <c r="O11" s="72"/>
      <c r="P11" s="77"/>
      <c r="Q11" s="77"/>
      <c r="R11" s="72"/>
      <c r="S11" s="72"/>
      <c r="T11" s="72"/>
      <c r="U11" s="74"/>
      <c r="V11" s="1">
        <f t="shared" si="22"/>
        <v>0</v>
      </c>
      <c r="W11">
        <f t="shared" si="23"/>
        <v>0</v>
      </c>
      <c r="X11">
        <f t="shared" si="24"/>
        <v>0</v>
      </c>
      <c r="Y11">
        <f t="shared" si="25"/>
        <v>0</v>
      </c>
      <c r="Z11">
        <f t="shared" si="26"/>
        <v>0</v>
      </c>
      <c r="AA11" s="68">
        <f t="shared" si="27"/>
        <v>0</v>
      </c>
      <c r="AB11" s="1">
        <f>Z11+P$16</f>
        <v>0</v>
      </c>
      <c r="AC11">
        <f>AA11+Q$16</f>
        <v>0</v>
      </c>
      <c r="AD11">
        <f>V11+Q$14</f>
        <v>0</v>
      </c>
      <c r="AE11">
        <f>W11+P$14</f>
        <v>0</v>
      </c>
      <c r="AF11">
        <f>X11+Q$15</f>
        <v>0</v>
      </c>
      <c r="AG11">
        <f>Y11+P$15</f>
        <v>0</v>
      </c>
      <c r="AH11">
        <f t="shared" si="0"/>
        <v>0</v>
      </c>
      <c r="AI11" s="68">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Sandr</v>
      </c>
      <c r="B12" s="72"/>
      <c r="C12" s="72"/>
      <c r="D12" s="72"/>
      <c r="E12" s="72"/>
      <c r="F12" s="72"/>
      <c r="G12" s="72"/>
      <c r="H12" s="72"/>
      <c r="I12" s="72"/>
      <c r="J12" s="72"/>
      <c r="K12" s="72"/>
      <c r="L12" s="72"/>
      <c r="M12" s="72"/>
      <c r="N12" s="72"/>
      <c r="O12" s="72"/>
      <c r="P12" s="72"/>
      <c r="Q12" s="72"/>
      <c r="R12" s="77"/>
      <c r="S12" s="77"/>
      <c r="T12" s="72"/>
      <c r="U12" s="74"/>
      <c r="V12" s="1">
        <f t="shared" si="22"/>
        <v>0</v>
      </c>
      <c r="W12">
        <f t="shared" si="23"/>
        <v>0</v>
      </c>
      <c r="X12">
        <f t="shared" si="24"/>
        <v>0</v>
      </c>
      <c r="Y12">
        <f t="shared" si="25"/>
        <v>0</v>
      </c>
      <c r="Z12">
        <f t="shared" si="26"/>
        <v>0</v>
      </c>
      <c r="AA12" s="68">
        <f t="shared" si="27"/>
        <v>0</v>
      </c>
      <c r="AB12" s="1">
        <f>Z12+R$16</f>
        <v>0</v>
      </c>
      <c r="AC12">
        <f>AA12+S$16</f>
        <v>0</v>
      </c>
      <c r="AD12">
        <f>V12+S$14</f>
        <v>0</v>
      </c>
      <c r="AE12">
        <f>W12+R$14</f>
        <v>0</v>
      </c>
      <c r="AF12">
        <f>X12+S$15</f>
        <v>0</v>
      </c>
      <c r="AG12">
        <f>Y12+R$15</f>
        <v>0</v>
      </c>
      <c r="AH12">
        <f t="shared" ref="AH12" si="30">AD12+AE12</f>
        <v>0</v>
      </c>
      <c r="AI12" s="68">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skonaman</v>
      </c>
      <c r="B13" s="78"/>
      <c r="C13" s="78"/>
      <c r="D13" s="78"/>
      <c r="E13" s="78"/>
      <c r="F13" s="78"/>
      <c r="G13" s="78"/>
      <c r="H13" s="78"/>
      <c r="I13" s="78"/>
      <c r="J13" s="78"/>
      <c r="K13" s="78"/>
      <c r="L13" s="78"/>
      <c r="M13" s="78"/>
      <c r="N13" s="78"/>
      <c r="O13" s="78"/>
      <c r="P13" s="78"/>
      <c r="Q13" s="78"/>
      <c r="R13" s="78"/>
      <c r="S13" s="78"/>
      <c r="T13" s="79"/>
      <c r="U13" s="80"/>
      <c r="V13" s="1">
        <f t="shared" si="22"/>
        <v>0</v>
      </c>
      <c r="W13">
        <f t="shared" si="23"/>
        <v>0</v>
      </c>
      <c r="X13">
        <f t="shared" si="24"/>
        <v>0</v>
      </c>
      <c r="Y13">
        <f t="shared" si="25"/>
        <v>0</v>
      </c>
      <c r="Z13">
        <f t="shared" si="26"/>
        <v>0</v>
      </c>
      <c r="AA13" s="68">
        <f t="shared" si="27"/>
        <v>0</v>
      </c>
      <c r="AB13" s="1">
        <f>Z13+T$16</f>
        <v>0</v>
      </c>
      <c r="AC13">
        <f>AA13+U$16</f>
        <v>0</v>
      </c>
      <c r="AD13">
        <f>V13+U$14</f>
        <v>0</v>
      </c>
      <c r="AE13">
        <f>W13+T$14</f>
        <v>0</v>
      </c>
      <c r="AF13">
        <f>X13+U$15</f>
        <v>0</v>
      </c>
      <c r="AG13">
        <f>Y13+T$15</f>
        <v>0</v>
      </c>
      <c r="AH13">
        <f t="shared" si="0"/>
        <v>0</v>
      </c>
      <c r="AI13" s="68">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3"/>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3" t="s">
        <v>15</v>
      </c>
      <c r="F1" s="93"/>
      <c r="G1" s="93"/>
      <c r="H1" s="93" t="s">
        <v>12</v>
      </c>
      <c r="I1" s="93"/>
      <c r="J1" s="93"/>
      <c r="K1" s="93"/>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Greathumics</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magic one</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69Sandman</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Sandr</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goofie</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skonaman</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Captnblaubaer</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dzsobacsi</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Freesurfer</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DrummieMilo</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4" t="s">
        <v>31</v>
      </c>
      <c r="N13" s="95"/>
      <c r="O13" s="22">
        <f>MIN(O3:O12)</f>
        <v>0</v>
      </c>
    </row>
    <row r="14" spans="1:17" x14ac:dyDescent="0.35">
      <c r="A14" s="8"/>
      <c r="B14" s="9"/>
      <c r="C14" s="8"/>
      <c r="D14" s="8"/>
      <c r="E14" s="8"/>
      <c r="F14" s="8"/>
      <c r="G14" s="8"/>
      <c r="H14" s="8"/>
      <c r="I14" s="8"/>
      <c r="J14" s="8"/>
      <c r="K14" s="8"/>
      <c r="L14" s="8"/>
      <c r="M14" s="17"/>
      <c r="N14" s="8"/>
      <c r="O14" s="22"/>
    </row>
    <row r="15" spans="1:17" x14ac:dyDescent="0.35">
      <c r="A15" s="14"/>
      <c r="B15" s="96" t="str">
        <f>IF(MID(Group,1,1)="1","Winner of the tournament","Promotion candidate")</f>
        <v>Promotion candidate</v>
      </c>
      <c r="C15" s="92"/>
      <c r="D15" s="92"/>
      <c r="E15" s="92"/>
      <c r="F15" s="92"/>
      <c r="G15" s="92"/>
      <c r="H15" s="92"/>
      <c r="I15" s="92"/>
      <c r="J15" s="92"/>
      <c r="K15" s="8"/>
      <c r="L15" s="8"/>
      <c r="M15" s="8"/>
      <c r="N15" s="8"/>
      <c r="O15" s="8"/>
    </row>
    <row r="16" spans="1:17" x14ac:dyDescent="0.35">
      <c r="A16" s="15"/>
      <c r="B16" s="96" t="s">
        <v>37</v>
      </c>
      <c r="C16" s="92"/>
      <c r="D16" s="92"/>
      <c r="E16" s="92"/>
      <c r="F16" s="92"/>
      <c r="G16" s="92"/>
      <c r="H16" s="92"/>
      <c r="I16" s="92"/>
      <c r="J16" s="92"/>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2b</v>
      </c>
      <c r="B1" s="4" t="str">
        <f>$A2</f>
        <v>69Sandman</v>
      </c>
      <c r="C1" s="4" t="str">
        <f>$A3</f>
        <v>Captnblaubaer</v>
      </c>
      <c r="D1" s="4" t="str">
        <f>$A4</f>
        <v>DrummieMilo</v>
      </c>
      <c r="E1" s="4" t="str">
        <f>$A5</f>
        <v>dzsobacsi</v>
      </c>
      <c r="F1" s="4" t="str">
        <f>$A6</f>
        <v>Freesurfer</v>
      </c>
      <c r="G1" s="4" t="str">
        <f>$A7</f>
        <v>goofie</v>
      </c>
      <c r="H1" s="4" t="str">
        <f>A8</f>
        <v>Greathumics</v>
      </c>
      <c r="I1" s="4" t="str">
        <f>$A9</f>
        <v>magic one</v>
      </c>
      <c r="J1" s="4" t="str">
        <f>$A10</f>
        <v>Sandr</v>
      </c>
      <c r="K1" s="5" t="str">
        <f>$A11</f>
        <v>skonaman</v>
      </c>
      <c r="M1" s="24" t="s">
        <v>36</v>
      </c>
    </row>
    <row r="2" spans="1:13" x14ac:dyDescent="0.35">
      <c r="A2" s="1" t="str">
        <f>IF(Player1="","",Player1)</f>
        <v>69Sandman</v>
      </c>
      <c r="B2" s="64"/>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"http://dailygammon.com/bg/user/27176?active=1&amp;finished=0&amp;sort_win_loss=0&amp;days_to_view=150" &gt;"2b\2b_69Sandman_27176.html"</v>
      </c>
    </row>
    <row r="3" spans="1:13" x14ac:dyDescent="0.35">
      <c r="A3" s="1" t="str">
        <f>IF(Player2="","",Player2)</f>
        <v>Captnblaubaer</v>
      </c>
      <c r="B3" s="26"/>
      <c r="C3" s="64"/>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"http://dailygammon.com/bg/user/32477?active=1&amp;finished=0&amp;sort_win_loss=0&amp;days_to_view=150" &gt;"2b\2b_Captnblaubaer_32477.html"</v>
      </c>
    </row>
    <row r="4" spans="1:13" x14ac:dyDescent="0.35">
      <c r="A4" s="1" t="str">
        <f>IF(Player3="","",Player3)</f>
        <v>DrummieMilo</v>
      </c>
      <c r="B4" s="26"/>
      <c r="C4" s="26"/>
      <c r="D4" s="64"/>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"http://dailygammon.com/bg/user/31793?active=1&amp;finished=0&amp;sort_win_loss=0&amp;days_to_view=150" &gt;"2b\2b_DrummieMilo_31793.html"</v>
      </c>
    </row>
    <row r="5" spans="1:13" x14ac:dyDescent="0.35">
      <c r="A5" s="1" t="str">
        <f>IF(Player4="","",Player4)</f>
        <v>dzsobacsi</v>
      </c>
      <c r="B5" s="26"/>
      <c r="C5" s="26"/>
      <c r="D5" s="26"/>
      <c r="E5" s="64"/>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"http://dailygammon.com/bg/user/31952?active=1&amp;finished=0&amp;sort_win_loss=0&amp;days_to_view=150" &gt;"2b\2b_dzsobacsi_31952.html"</v>
      </c>
    </row>
    <row r="6" spans="1:13" x14ac:dyDescent="0.35">
      <c r="A6" s="1" t="str">
        <f>IF(Player5="","",Player5)</f>
        <v>Freesurfer</v>
      </c>
      <c r="B6" s="26"/>
      <c r="C6" s="26"/>
      <c r="D6" s="29"/>
      <c r="E6" s="26"/>
      <c r="F6" s="65"/>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"http://dailygammon.com/bg/user/32442?active=1&amp;finished=0&amp;sort_win_loss=0&amp;days_to_view=150" &gt;"2b\2b_Freesurfer_32442.html"</v>
      </c>
    </row>
    <row r="7" spans="1:13" x14ac:dyDescent="0.35">
      <c r="A7" s="1" t="str">
        <f>IF(Player6="","",Player6)</f>
        <v>goofie</v>
      </c>
      <c r="B7" s="26"/>
      <c r="C7" s="26"/>
      <c r="D7" s="26"/>
      <c r="E7" s="26"/>
      <c r="F7" s="26"/>
      <c r="G7" s="65"/>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"http://dailygammon.com/bg/user/16338?active=1&amp;finished=0&amp;sort_win_loss=0&amp;days_to_view=150" &gt;"2b\2b_goofie_16338.html"</v>
      </c>
    </row>
    <row r="8" spans="1:13" x14ac:dyDescent="0.35">
      <c r="A8" s="1" t="str">
        <f>IF(Player7="","",Player7)</f>
        <v>Greathumics</v>
      </c>
      <c r="B8" s="26"/>
      <c r="C8" s="26"/>
      <c r="D8" s="26"/>
      <c r="E8" s="26"/>
      <c r="F8" s="26"/>
      <c r="G8" s="26"/>
      <c r="H8" s="65"/>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"http://dailygammon.com/bg/user/37183?active=1&amp;finished=0&amp;sort_win_loss=0&amp;days_to_view=150" &gt;"2b\2b_Greathumics_37183.html"</v>
      </c>
    </row>
    <row r="9" spans="1:13" x14ac:dyDescent="0.35">
      <c r="A9" s="1" t="str">
        <f>IF(Player8="","",Player8)</f>
        <v>magic one</v>
      </c>
      <c r="B9" s="26"/>
      <c r="C9" s="26"/>
      <c r="D9" s="26"/>
      <c r="E9" s="26"/>
      <c r="F9" s="26"/>
      <c r="G9" s="26"/>
      <c r="H9" s="26"/>
      <c r="I9" s="65"/>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"http://dailygammon.com/bg/user/8801?active=1&amp;finished=0&amp;sort_win_loss=0&amp;days_to_view=150" &gt;"2b\2b_magic one_8801.html"</v>
      </c>
    </row>
    <row r="10" spans="1:13" x14ac:dyDescent="0.35">
      <c r="A10" s="1" t="str">
        <f>IF(Player9="","",Player9)</f>
        <v>Sandr</v>
      </c>
      <c r="B10" s="26"/>
      <c r="C10" s="26"/>
      <c r="D10" s="26"/>
      <c r="E10" s="26"/>
      <c r="F10" s="26"/>
      <c r="G10" s="26"/>
      <c r="H10" s="26"/>
      <c r="I10" s="26"/>
      <c r="J10" s="65"/>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"http://dailygammon.com/bg/user/31517?active=1&amp;finished=0&amp;sort_win_loss=0&amp;days_to_view=150" &gt;"2b\2b_Sandr_31517.html"</v>
      </c>
    </row>
    <row r="11" spans="1:13" x14ac:dyDescent="0.35">
      <c r="A11" s="2" t="str">
        <f>IF(Player10="","",Player10)</f>
        <v>skonaman</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"http://dailygammon.com/bg/user/28783?active=1&amp;finished=0&amp;sort_win_loss=0&amp;days_to_view=150" &gt;"2b\2b_skonaman_28783.html"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3" t="s">
        <v>186</v>
      </c>
      <c r="G31" s="21">
        <v>45770.738842592589</v>
      </c>
    </row>
    <row r="32" spans="1:7" x14ac:dyDescent="0.35">
      <c r="A32" t="s">
        <v>165</v>
      </c>
      <c r="B32" t="s">
        <v>55</v>
      </c>
      <c r="C32" s="30">
        <v>5129616</v>
      </c>
      <c r="D32" t="b">
        <f t="shared" si="0"/>
        <v>1</v>
      </c>
      <c r="E32" t="b">
        <v>0</v>
      </c>
      <c r="F32" s="63"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3" t="s">
        <v>188</v>
      </c>
      <c r="G83" s="21">
        <v>45766.535011574073</v>
      </c>
    </row>
    <row r="84" spans="1:7" x14ac:dyDescent="0.35">
      <c r="A84" t="s">
        <v>60</v>
      </c>
      <c r="B84" t="s">
        <v>180</v>
      </c>
      <c r="C84" s="30">
        <v>5127955</v>
      </c>
      <c r="D84" t="b">
        <f t="shared" si="1"/>
        <v>1</v>
      </c>
      <c r="E84" t="b">
        <v>1</v>
      </c>
      <c r="F84" s="63" t="s">
        <v>186</v>
      </c>
      <c r="G84" s="21">
        <v>45766.535011574073</v>
      </c>
    </row>
    <row r="85" spans="1:7" x14ac:dyDescent="0.35">
      <c r="A85" t="s">
        <v>60</v>
      </c>
      <c r="B85" t="s">
        <v>55</v>
      </c>
      <c r="C85" s="30">
        <v>5127695</v>
      </c>
      <c r="D85" t="b">
        <f t="shared" si="1"/>
        <v>0</v>
      </c>
      <c r="E85" t="b">
        <v>1</v>
      </c>
      <c r="F85" s="63" t="s">
        <v>186</v>
      </c>
      <c r="G85" s="21">
        <v>45766.535011574073</v>
      </c>
    </row>
    <row r="86" spans="1:7" x14ac:dyDescent="0.35">
      <c r="A86" t="s">
        <v>60</v>
      </c>
      <c r="B86" t="s">
        <v>55</v>
      </c>
      <c r="C86" s="30">
        <v>5127696</v>
      </c>
      <c r="D86" t="b">
        <f t="shared" si="1"/>
        <v>1</v>
      </c>
      <c r="E86" t="b">
        <v>1</v>
      </c>
      <c r="F86" s="63"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7">
        <v>0.46388888888888891</v>
      </c>
      <c r="D2" s="67">
        <v>0.38124999999999998</v>
      </c>
      <c r="E2" s="67">
        <v>0.46180555555555558</v>
      </c>
      <c r="F2" s="67">
        <v>0.46458333333333335</v>
      </c>
      <c r="G2" s="67">
        <v>7.6388888888888886E-3</v>
      </c>
      <c r="H2" s="67">
        <v>9.0972222222222218E-2</v>
      </c>
      <c r="I2" s="67">
        <v>4.9305555555555554E-2</v>
      </c>
      <c r="J2" s="67">
        <v>0.25763888888888886</v>
      </c>
      <c r="K2" s="67">
        <v>0.29930555555555555</v>
      </c>
    </row>
    <row r="3" spans="1:11" x14ac:dyDescent="0.35">
      <c r="A3" s="51" t="s">
        <v>180</v>
      </c>
      <c r="B3" s="67">
        <v>0.42430555555555555</v>
      </c>
      <c r="C3" s="51" t="s">
        <v>24</v>
      </c>
      <c r="D3" s="67">
        <v>0.46319444444444446</v>
      </c>
      <c r="E3" s="67">
        <v>0.46111111111111114</v>
      </c>
      <c r="F3" s="67">
        <v>9.0972222222222218E-2</v>
      </c>
      <c r="G3" s="67">
        <v>9.0972222222222218E-2</v>
      </c>
      <c r="H3" s="67">
        <v>9.0972222222222218E-2</v>
      </c>
      <c r="I3" s="67">
        <v>0.46250000000000002</v>
      </c>
      <c r="J3" s="67">
        <v>0.46458333333333335</v>
      </c>
      <c r="K3" s="67">
        <v>0.25763888888888886</v>
      </c>
    </row>
    <row r="4" spans="1:11" x14ac:dyDescent="0.35">
      <c r="A4" s="51" t="s">
        <v>55</v>
      </c>
      <c r="B4" s="67">
        <v>0.25416666666666665</v>
      </c>
      <c r="C4" s="67">
        <v>0.38055555555555554</v>
      </c>
      <c r="D4" s="51" t="s">
        <v>24</v>
      </c>
      <c r="E4" s="67">
        <v>0.29930555555555555</v>
      </c>
      <c r="F4" s="67">
        <v>0.46388888888888891</v>
      </c>
      <c r="G4" s="67">
        <v>0.46250000000000002</v>
      </c>
      <c r="H4" s="67">
        <v>9.0972222222222218E-2</v>
      </c>
      <c r="I4" s="67">
        <v>0.42430555555555555</v>
      </c>
      <c r="J4" s="67">
        <v>0.13263888888888889</v>
      </c>
      <c r="K4" s="67">
        <v>0.29930555555555555</v>
      </c>
    </row>
    <row r="5" spans="1:11" x14ac:dyDescent="0.35">
      <c r="A5" s="51" t="s">
        <v>165</v>
      </c>
      <c r="B5" s="67">
        <v>0.46250000000000002</v>
      </c>
      <c r="C5" s="67">
        <v>0.45902777777777776</v>
      </c>
      <c r="D5" s="67">
        <v>0.46388888888888891</v>
      </c>
      <c r="E5" s="51" t="s">
        <v>24</v>
      </c>
      <c r="F5" s="67">
        <v>0.25763888888888886</v>
      </c>
      <c r="G5" s="67">
        <v>0.46250000000000002</v>
      </c>
      <c r="H5" s="67">
        <v>0.25763888888888886</v>
      </c>
      <c r="I5" s="67">
        <v>0.34097222222222223</v>
      </c>
      <c r="J5" s="67">
        <v>0.42430555555555555</v>
      </c>
      <c r="K5" s="67">
        <v>0.46458333333333335</v>
      </c>
    </row>
    <row r="6" spans="1:11" x14ac:dyDescent="0.35">
      <c r="A6" s="51" t="s">
        <v>166</v>
      </c>
      <c r="B6" s="67">
        <v>0.13263888888888889</v>
      </c>
      <c r="C6" s="67">
        <v>0.13263888888888889</v>
      </c>
      <c r="D6" s="67">
        <v>0.13263888888888889</v>
      </c>
      <c r="E6" s="67">
        <v>0.45833333333333331</v>
      </c>
      <c r="F6" s="51" t="s">
        <v>24</v>
      </c>
      <c r="G6" s="67">
        <v>7.6388888888888886E-3</v>
      </c>
      <c r="H6" s="67">
        <v>0.38263888888888886</v>
      </c>
      <c r="I6" s="67">
        <v>7.6388888888888886E-3</v>
      </c>
      <c r="J6" s="67">
        <v>0.29930555555555555</v>
      </c>
      <c r="K6" s="67">
        <v>0.21597222222222223</v>
      </c>
    </row>
    <row r="7" spans="1:11" x14ac:dyDescent="0.35">
      <c r="A7" s="51" t="s">
        <v>57</v>
      </c>
      <c r="B7" s="67">
        <v>0.17430555555555555</v>
      </c>
      <c r="C7" s="67">
        <v>0.46527777777777779</v>
      </c>
      <c r="D7" s="67">
        <v>0.4597222222222222</v>
      </c>
      <c r="E7" s="67">
        <v>0.46041666666666664</v>
      </c>
      <c r="F7" s="67">
        <v>4.9305555555555554E-2</v>
      </c>
      <c r="G7" s="51" t="s">
        <v>24</v>
      </c>
      <c r="H7" s="67">
        <v>0.13263888888888889</v>
      </c>
      <c r="I7" s="67">
        <v>0.42430555555555555</v>
      </c>
      <c r="J7" s="67">
        <v>0.46527777777777779</v>
      </c>
      <c r="K7" s="67">
        <v>0.38263888888888886</v>
      </c>
    </row>
    <row r="8" spans="1:11" x14ac:dyDescent="0.35">
      <c r="A8" s="51" t="s">
        <v>58</v>
      </c>
      <c r="B8" s="67">
        <v>0.13263888888888889</v>
      </c>
      <c r="C8" s="67">
        <v>0.17430555555555555</v>
      </c>
      <c r="D8" s="67">
        <v>0.4597222222222222</v>
      </c>
      <c r="E8" s="67">
        <v>0.46458333333333335</v>
      </c>
      <c r="F8" s="67">
        <v>0.42430555555555555</v>
      </c>
      <c r="G8" s="67">
        <v>0.46458333333333335</v>
      </c>
      <c r="H8" s="51" t="s">
        <v>24</v>
      </c>
      <c r="I8" s="67">
        <v>0.46458333333333335</v>
      </c>
      <c r="J8" s="67">
        <v>0.13263888888888889</v>
      </c>
      <c r="K8" s="67">
        <v>0.46527777777777779</v>
      </c>
    </row>
    <row r="9" spans="1:11" x14ac:dyDescent="0.35">
      <c r="A9" s="51" t="s">
        <v>181</v>
      </c>
      <c r="B9" s="67">
        <v>0.46319444444444446</v>
      </c>
      <c r="C9" s="67">
        <v>0.46458333333333335</v>
      </c>
      <c r="D9" s="67">
        <v>0.25694444444444442</v>
      </c>
      <c r="E9" s="67">
        <v>0.46111111111111114</v>
      </c>
      <c r="F9" s="67">
        <v>0.46319444444444446</v>
      </c>
      <c r="G9" s="67">
        <v>0.46388888888888891</v>
      </c>
      <c r="H9" s="67">
        <v>9.0972222222222218E-2</v>
      </c>
      <c r="I9" s="51" t="s">
        <v>24</v>
      </c>
      <c r="J9" s="67">
        <v>0.46527777777777779</v>
      </c>
      <c r="K9" s="67">
        <v>0.46319444444444446</v>
      </c>
    </row>
    <row r="10" spans="1:11" x14ac:dyDescent="0.35">
      <c r="A10" s="51" t="s">
        <v>167</v>
      </c>
      <c r="B10" s="67">
        <v>0.13263888888888889</v>
      </c>
      <c r="C10" s="67">
        <v>0.46180555555555558</v>
      </c>
      <c r="D10" s="67">
        <v>0.46111111111111114</v>
      </c>
      <c r="E10" s="67">
        <v>0.46319444444444446</v>
      </c>
      <c r="F10" s="67">
        <v>0.46388888888888891</v>
      </c>
      <c r="G10" s="67">
        <v>0.13263888888888889</v>
      </c>
      <c r="H10" s="67">
        <v>0.13263888888888889</v>
      </c>
      <c r="I10" s="67">
        <v>0.29930555555555555</v>
      </c>
      <c r="J10" s="51" t="s">
        <v>24</v>
      </c>
      <c r="K10" s="67">
        <v>0.46458333333333335</v>
      </c>
    </row>
    <row r="11" spans="1:11" x14ac:dyDescent="0.35">
      <c r="A11" s="51" t="s">
        <v>60</v>
      </c>
      <c r="B11" s="67">
        <v>0.34097222222222223</v>
      </c>
      <c r="C11" s="67">
        <v>0.46250000000000002</v>
      </c>
      <c r="D11" s="67">
        <v>0.38263888888888886</v>
      </c>
      <c r="E11" s="67">
        <v>0.42430555555555555</v>
      </c>
      <c r="F11" s="67">
        <v>0.46388888888888891</v>
      </c>
      <c r="G11" s="67">
        <v>0.38263888888888886</v>
      </c>
      <c r="H11" s="67">
        <v>4.9305555555555554E-2</v>
      </c>
      <c r="I11" s="67">
        <v>0.46250000000000002</v>
      </c>
      <c r="J11" s="67">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6" customWidth="1"/>
    <col min="2" max="2" width="7.36328125" style="66" bestFit="1" customWidth="1"/>
    <col min="3" max="3" width="4.54296875" style="66" bestFit="1" customWidth="1"/>
    <col min="4" max="4" width="4" style="66" bestFit="1" customWidth="1"/>
    <col min="5" max="5" width="6.453125" style="66" bestFit="1" customWidth="1"/>
    <col min="6" max="6" width="10.36328125" style="66" bestFit="1" customWidth="1"/>
    <col min="7" max="7" width="4" style="66" bestFit="1" customWidth="1"/>
    <col min="8" max="8" width="4.90625" style="66" bestFit="1" customWidth="1"/>
    <col min="9" max="9" width="14.6328125" style="66" bestFit="1" customWidth="1"/>
    <col min="10" max="10" width="4" style="66" bestFit="1" customWidth="1"/>
    <col min="11" max="11" width="4.90625" style="66" bestFit="1" customWidth="1"/>
    <col min="12" max="16384" width="30.08984375" style="66"/>
  </cols>
  <sheetData>
    <row r="1" spans="1:11" x14ac:dyDescent="0.35">
      <c r="F1" s="66" t="s">
        <v>15</v>
      </c>
      <c r="I1" s="66" t="s">
        <v>12</v>
      </c>
    </row>
    <row r="2" spans="1:11" x14ac:dyDescent="0.35">
      <c r="B2" s="66" t="s">
        <v>7</v>
      </c>
      <c r="C2" s="66" t="s">
        <v>11</v>
      </c>
      <c r="D2" s="66" t="s">
        <v>10</v>
      </c>
      <c r="E2" s="66" t="s">
        <v>178</v>
      </c>
      <c r="F2" s="66" t="s">
        <v>0</v>
      </c>
      <c r="G2" s="66" t="s">
        <v>1</v>
      </c>
      <c r="H2" s="66" t="s">
        <v>8</v>
      </c>
      <c r="I2" s="66" t="s">
        <v>0</v>
      </c>
      <c r="J2" s="66" t="s">
        <v>1</v>
      </c>
      <c r="K2" s="66" t="s">
        <v>8</v>
      </c>
    </row>
    <row r="3" spans="1:11" x14ac:dyDescent="0.35">
      <c r="A3" s="66" t="s">
        <v>58</v>
      </c>
      <c r="B3" s="66" t="s">
        <v>204</v>
      </c>
      <c r="C3" s="66" t="s">
        <v>205</v>
      </c>
      <c r="D3" s="66" t="s">
        <v>189</v>
      </c>
      <c r="E3" s="66" t="s">
        <v>206</v>
      </c>
      <c r="F3" s="66" t="s">
        <v>207</v>
      </c>
      <c r="G3" s="66" t="s">
        <v>197</v>
      </c>
      <c r="H3" s="66" t="s">
        <v>208</v>
      </c>
      <c r="I3" s="66" t="s">
        <v>207</v>
      </c>
      <c r="J3" s="66" t="s">
        <v>197</v>
      </c>
      <c r="K3" s="66" t="s">
        <v>208</v>
      </c>
    </row>
    <row r="4" spans="1:11" x14ac:dyDescent="0.35">
      <c r="A4" s="66" t="s">
        <v>181</v>
      </c>
      <c r="B4" s="66" t="s">
        <v>200</v>
      </c>
      <c r="C4" s="25" t="s">
        <v>216</v>
      </c>
      <c r="D4" s="66" t="s">
        <v>189</v>
      </c>
      <c r="E4" s="66" t="s">
        <v>232</v>
      </c>
      <c r="F4" s="25" t="s">
        <v>233</v>
      </c>
      <c r="G4" s="25" t="s">
        <v>234</v>
      </c>
      <c r="H4" s="66" t="s">
        <v>226</v>
      </c>
      <c r="I4" s="25" t="s">
        <v>224</v>
      </c>
      <c r="J4" s="25" t="s">
        <v>213</v>
      </c>
      <c r="K4" s="25" t="s">
        <v>235</v>
      </c>
    </row>
    <row r="5" spans="1:11" x14ac:dyDescent="0.35">
      <c r="A5" s="66" t="s">
        <v>167</v>
      </c>
      <c r="B5" s="66" t="s">
        <v>204</v>
      </c>
      <c r="C5" s="66" t="s">
        <v>194</v>
      </c>
      <c r="D5" s="66" t="s">
        <v>193</v>
      </c>
      <c r="E5" s="66" t="s">
        <v>215</v>
      </c>
      <c r="F5" s="66" t="s">
        <v>201</v>
      </c>
      <c r="G5" s="66" t="s">
        <v>211</v>
      </c>
      <c r="H5" s="66" t="s">
        <v>216</v>
      </c>
      <c r="I5" s="66" t="s">
        <v>201</v>
      </c>
      <c r="J5" s="66" t="s">
        <v>211</v>
      </c>
      <c r="K5" s="66" t="s">
        <v>216</v>
      </c>
    </row>
    <row r="6" spans="1:11" x14ac:dyDescent="0.35">
      <c r="A6" s="66" t="s">
        <v>57</v>
      </c>
      <c r="B6" s="66" t="s">
        <v>204</v>
      </c>
      <c r="C6" s="66" t="s">
        <v>198</v>
      </c>
      <c r="D6" s="66" t="s">
        <v>198</v>
      </c>
      <c r="E6" s="66" t="s">
        <v>192</v>
      </c>
      <c r="F6" s="66" t="s">
        <v>202</v>
      </c>
      <c r="G6" s="66" t="s">
        <v>209</v>
      </c>
      <c r="H6" s="66" t="s">
        <v>210</v>
      </c>
      <c r="I6" s="66" t="s">
        <v>202</v>
      </c>
      <c r="J6" s="66" t="s">
        <v>209</v>
      </c>
      <c r="K6" s="66" t="s">
        <v>210</v>
      </c>
    </row>
    <row r="7" spans="1:11" x14ac:dyDescent="0.35">
      <c r="A7" s="66" t="s">
        <v>60</v>
      </c>
      <c r="B7" s="66" t="s">
        <v>204</v>
      </c>
      <c r="C7" s="66" t="s">
        <v>198</v>
      </c>
      <c r="D7" s="25" t="s">
        <v>198</v>
      </c>
      <c r="E7" s="66" t="s">
        <v>192</v>
      </c>
      <c r="F7" s="66" t="s">
        <v>217</v>
      </c>
      <c r="G7" s="25" t="s">
        <v>229</v>
      </c>
      <c r="H7" s="25" t="s">
        <v>194</v>
      </c>
      <c r="I7" s="25" t="s">
        <v>217</v>
      </c>
      <c r="J7" s="25" t="s">
        <v>229</v>
      </c>
      <c r="K7" s="25" t="s">
        <v>194</v>
      </c>
    </row>
    <row r="8" spans="1:11" x14ac:dyDescent="0.35">
      <c r="A8" s="66" t="s">
        <v>54</v>
      </c>
      <c r="B8" s="66" t="s">
        <v>195</v>
      </c>
      <c r="C8" s="66" t="s">
        <v>198</v>
      </c>
      <c r="D8" s="66" t="s">
        <v>196</v>
      </c>
      <c r="E8" s="66" t="s">
        <v>215</v>
      </c>
      <c r="F8" s="66" t="s">
        <v>227</v>
      </c>
      <c r="G8" s="25" t="s">
        <v>236</v>
      </c>
      <c r="H8" s="25" t="s">
        <v>203</v>
      </c>
      <c r="I8" s="66" t="s">
        <v>219</v>
      </c>
      <c r="J8" s="66" t="s">
        <v>212</v>
      </c>
      <c r="K8" s="66" t="s">
        <v>203</v>
      </c>
    </row>
    <row r="9" spans="1:11" x14ac:dyDescent="0.35">
      <c r="A9" s="66" t="s">
        <v>165</v>
      </c>
      <c r="B9" s="66" t="s">
        <v>204</v>
      </c>
      <c r="C9" s="25" t="s">
        <v>196</v>
      </c>
      <c r="D9" s="66" t="s">
        <v>199</v>
      </c>
      <c r="E9" s="66" t="s">
        <v>237</v>
      </c>
      <c r="F9" s="25" t="s">
        <v>214</v>
      </c>
      <c r="G9" s="25" t="s">
        <v>238</v>
      </c>
      <c r="H9" s="66" t="s">
        <v>228</v>
      </c>
      <c r="I9" s="25" t="s">
        <v>214</v>
      </c>
      <c r="J9" s="25" t="s">
        <v>238</v>
      </c>
      <c r="K9" s="25" t="s">
        <v>228</v>
      </c>
    </row>
    <row r="10" spans="1:11" x14ac:dyDescent="0.35">
      <c r="A10" s="66" t="s">
        <v>180</v>
      </c>
      <c r="B10" s="66" t="s">
        <v>200</v>
      </c>
      <c r="C10" s="66" t="s">
        <v>190</v>
      </c>
      <c r="D10" s="66" t="s">
        <v>199</v>
      </c>
      <c r="E10" s="66" t="s">
        <v>220</v>
      </c>
      <c r="F10" s="25" t="s">
        <v>239</v>
      </c>
      <c r="G10" s="25" t="s">
        <v>201</v>
      </c>
      <c r="H10" s="25" t="s">
        <v>240</v>
      </c>
      <c r="I10" s="66" t="s">
        <v>221</v>
      </c>
      <c r="J10" s="66" t="s">
        <v>222</v>
      </c>
      <c r="K10" s="66" t="s">
        <v>223</v>
      </c>
    </row>
    <row r="11" spans="1:11" x14ac:dyDescent="0.35">
      <c r="A11" s="66" t="s">
        <v>166</v>
      </c>
      <c r="B11" s="66" t="s">
        <v>204</v>
      </c>
      <c r="C11" s="66" t="s">
        <v>191</v>
      </c>
      <c r="D11" s="66" t="s">
        <v>216</v>
      </c>
      <c r="E11" s="66" t="s">
        <v>230</v>
      </c>
      <c r="F11" s="66" t="s">
        <v>231</v>
      </c>
      <c r="G11" s="66" t="s">
        <v>218</v>
      </c>
      <c r="H11" s="66" t="s">
        <v>225</v>
      </c>
      <c r="I11" s="66" t="s">
        <v>231</v>
      </c>
      <c r="J11" s="66" t="s">
        <v>218</v>
      </c>
      <c r="K11" s="66" t="s">
        <v>225</v>
      </c>
    </row>
    <row r="12" spans="1:11" x14ac:dyDescent="0.35">
      <c r="A12" s="66" t="s">
        <v>55</v>
      </c>
      <c r="B12" s="66" t="s">
        <v>241</v>
      </c>
      <c r="C12" s="25" t="s">
        <v>189</v>
      </c>
      <c r="D12" s="25" t="s">
        <v>194</v>
      </c>
      <c r="E12" s="66"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69Sandman</v>
      </c>
      <c r="B2" s="6">
        <v>0.45</v>
      </c>
      <c r="C2">
        <v>0</v>
      </c>
      <c r="D2">
        <v>0</v>
      </c>
      <c r="E2">
        <v>18</v>
      </c>
      <c r="F2">
        <v>9</v>
      </c>
      <c r="G2">
        <f>F2/E2</f>
        <v>0.5</v>
      </c>
      <c r="H2">
        <f>ROUND(F2,0)</f>
        <v>9</v>
      </c>
      <c r="I2">
        <f>E2-H2</f>
        <v>9</v>
      </c>
      <c r="J2">
        <f>C2+H2</f>
        <v>9</v>
      </c>
      <c r="K2">
        <f>D2+I2</f>
        <v>9</v>
      </c>
      <c r="L2">
        <f>C2+D2+H2+I2</f>
        <v>18</v>
      </c>
    </row>
    <row r="3" spans="1:12" x14ac:dyDescent="0.35">
      <c r="A3" t="str">
        <f>Player2</f>
        <v>Captnblaubaer</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DrummieMilo</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dzsobacsi</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Freesurfer</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goofie</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Greathumics</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magic one</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Sandr</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skonaman</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2b</v>
      </c>
      <c r="B3" s="36" t="str">
        <f>$A4</f>
        <v>69Sandman</v>
      </c>
      <c r="C3" s="36" t="str">
        <f>$A5</f>
        <v>Captnblaubaer</v>
      </c>
      <c r="D3" s="36" t="str">
        <f>$A6</f>
        <v>DrummieMilo</v>
      </c>
      <c r="E3" s="36" t="str">
        <f>$A7</f>
        <v>dzsobacsi</v>
      </c>
      <c r="F3" s="36" t="str">
        <f>$A8</f>
        <v>Freesurfer</v>
      </c>
      <c r="G3" s="36" t="str">
        <f>$A9</f>
        <v>goofie</v>
      </c>
      <c r="H3" s="36" t="str">
        <f>$A10</f>
        <v>Greathumics</v>
      </c>
      <c r="I3" s="36" t="str">
        <f>$A11</f>
        <v>magic one</v>
      </c>
      <c r="J3" s="36" t="str">
        <f>$A12</f>
        <v>Sandr</v>
      </c>
      <c r="K3" s="37" t="str">
        <f>$A13</f>
        <v>skonaman</v>
      </c>
      <c r="L3" s="1"/>
    </row>
    <row r="4" spans="1:12" x14ac:dyDescent="0.35">
      <c r="A4" s="33" t="str">
        <f>IF(Player1="","",Player1)</f>
        <v>69Sandman</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Captnblaubaer</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DrummieMilo</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dzsobacsi</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Freesurfer</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goofie</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Greathumics</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magic one</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Sandr</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skonaman</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2025-08-06T09:36:16Z</dcterms:modified>
</cp:coreProperties>
</file>